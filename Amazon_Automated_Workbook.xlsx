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d.docs.live.net/1219e9314660fec7/Documents/"/>
    </mc:Choice>
  </mc:AlternateContent>
  <xr:revisionPtr revIDLastSave="8" documentId="8_{B3BDCABA-6F11-4D6A-825B-0BF69923EF8B}" xr6:coauthVersionLast="45" xr6:coauthVersionMax="45" xr10:uidLastSave="{B0D7E0A3-5C78-42F6-BAF8-BD40DE85AC91}"/>
  <bookViews>
    <workbookView xWindow="-120" yWindow="-120" windowWidth="20730" windowHeight="11040" xr2:uid="{36FFF5FC-2588-4C18-B8A5-8E99183F3BCF}"/>
  </bookViews>
  <sheets>
    <sheet name="Dashboards" sheetId="2" r:id="rId1"/>
    <sheet name="Support sheet" sheetId="3" r:id="rId2"/>
    <sheet name="Sheet1" sheetId="1" r:id="rId3"/>
  </sheets>
  <definedNames>
    <definedName name="Folderpath">Sheet1!$H$4</definedName>
    <definedName name="Slicer_Category">#N/A</definedName>
    <definedName name="Slicer_Customer_Location">#N/A</definedName>
    <definedName name="Slicer_Month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4" i="3" l="1"/>
  <c r="L4" i="3"/>
  <c r="L3" i="3"/>
  <c r="H3" i="3"/>
  <c r="H4" i="3"/>
  <c r="I4"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E8608E-EE1B-4B3A-B37F-F362FB4EA9AF}" keepAlive="1" name="Query - amazon" description="Connection to the 'amazon' query in the workbook." type="5" refreshedVersion="6" background="1" saveData="1">
    <dbPr connection="Provider=Microsoft.Mashup.OleDb.1;Data Source=$Workbook$;Location=amazon;Extended Properties=&quot;&quot;" command="SELECT * FROM [amazon]"/>
  </connection>
  <connection id="2" xr16:uid="{D28D2DB4-1F7C-4520-BC1A-5B399CFCF3C8}" keepAlive="1" name="Query - amazon (2)" description="Connection to the 'amazon (2)' query in the workbook." type="5" refreshedVersion="6" background="1" saveData="1">
    <dbPr connection="Provider=Microsoft.Mashup.OleDb.1;Data Source=$Workbook$;Location=amazon (2);Extended Properties=&quot;&quot;" command="SELECT * FROM [amazon (2)]"/>
  </connection>
</connections>
</file>

<file path=xl/sharedStrings.xml><?xml version="1.0" encoding="utf-8"?>
<sst xmlns="http://schemas.openxmlformats.org/spreadsheetml/2006/main" count="112" uniqueCount="98">
  <si>
    <t>C:\Users\Admin\OneDrive\Documents\amazon</t>
  </si>
  <si>
    <t>Sum of Price</t>
  </si>
  <si>
    <t>Sum of Total Sales</t>
  </si>
  <si>
    <t>Sum of Quantity</t>
  </si>
  <si>
    <t>Count of Product</t>
  </si>
  <si>
    <t>Row Labels</t>
  </si>
  <si>
    <t>January</t>
  </si>
  <si>
    <t>February</t>
  </si>
  <si>
    <t>March</t>
  </si>
  <si>
    <t>April</t>
  </si>
  <si>
    <t>May</t>
  </si>
  <si>
    <t>June</t>
  </si>
  <si>
    <t>July</t>
  </si>
  <si>
    <t>August</t>
  </si>
  <si>
    <t>September</t>
  </si>
  <si>
    <t>October</t>
  </si>
  <si>
    <t>November</t>
  </si>
  <si>
    <t>December</t>
  </si>
  <si>
    <t>Target Sales</t>
  </si>
  <si>
    <t>Current Sales</t>
  </si>
  <si>
    <t>Remaining</t>
  </si>
  <si>
    <t>target</t>
  </si>
  <si>
    <t>rem</t>
  </si>
  <si>
    <t>Cancelled</t>
  </si>
  <si>
    <t>Completed</t>
  </si>
  <si>
    <t>Pending</t>
  </si>
  <si>
    <t>Amazon Pay</t>
  </si>
  <si>
    <t>Credit Card</t>
  </si>
  <si>
    <t>Debit Card</t>
  </si>
  <si>
    <t>Gift Card</t>
  </si>
  <si>
    <t>PayPal</t>
  </si>
  <si>
    <t>Count of Order ID</t>
  </si>
  <si>
    <t>3-Jan</t>
  </si>
  <si>
    <t>4-Jan</t>
  </si>
  <si>
    <t>2-Feb</t>
  </si>
  <si>
    <t>3-Feb</t>
  </si>
  <si>
    <t>4-Feb</t>
  </si>
  <si>
    <t>13-Feb</t>
  </si>
  <si>
    <t>14-Feb</t>
  </si>
  <si>
    <t>15-Feb</t>
  </si>
  <si>
    <t>16-Feb</t>
  </si>
  <si>
    <t>17-Feb</t>
  </si>
  <si>
    <t>18-Feb</t>
  </si>
  <si>
    <t>19-Feb</t>
  </si>
  <si>
    <t>20-Feb</t>
  </si>
  <si>
    <t>21-Feb</t>
  </si>
  <si>
    <t>22-Feb</t>
  </si>
  <si>
    <t>23-Feb</t>
  </si>
  <si>
    <t>24-Feb</t>
  </si>
  <si>
    <t>25-Feb</t>
  </si>
  <si>
    <t>26-Feb</t>
  </si>
  <si>
    <t>27-Feb</t>
  </si>
  <si>
    <t>28-Feb</t>
  </si>
  <si>
    <t>2-Mar</t>
  </si>
  <si>
    <t>3-Mar</t>
  </si>
  <si>
    <t>13-Mar</t>
  </si>
  <si>
    <t>14-Mar</t>
  </si>
  <si>
    <t>15-Mar</t>
  </si>
  <si>
    <t>16-Mar</t>
  </si>
  <si>
    <t>17-Mar</t>
  </si>
  <si>
    <t>18-Mar</t>
  </si>
  <si>
    <t>19-Mar</t>
  </si>
  <si>
    <t>20-Mar</t>
  </si>
  <si>
    <t>21-Mar</t>
  </si>
  <si>
    <t>22-Mar</t>
  </si>
  <si>
    <t>23-Mar</t>
  </si>
  <si>
    <t>24-Mar</t>
  </si>
  <si>
    <t>25-Mar</t>
  </si>
  <si>
    <t>26-Mar</t>
  </si>
  <si>
    <t>27-Mar</t>
  </si>
  <si>
    <t>28-Mar</t>
  </si>
  <si>
    <t>29-Mar</t>
  </si>
  <si>
    <t>30-Mar</t>
  </si>
  <si>
    <t>31-Mar</t>
  </si>
  <si>
    <t>2-Apr</t>
  </si>
  <si>
    <t>3-Apr</t>
  </si>
  <si>
    <t>2-May</t>
  </si>
  <si>
    <t>3-May</t>
  </si>
  <si>
    <t>2-Jun</t>
  </si>
  <si>
    <t>3-Jun</t>
  </si>
  <si>
    <t>2-Jul</t>
  </si>
  <si>
    <t>3-Jul</t>
  </si>
  <si>
    <t>2-Aug</t>
  </si>
  <si>
    <t>3-Aug</t>
  </si>
  <si>
    <t>2-Sep</t>
  </si>
  <si>
    <t>3-Sep</t>
  </si>
  <si>
    <t>2-Oct</t>
  </si>
  <si>
    <t>3-Oct</t>
  </si>
  <si>
    <t>2-Nov</t>
  </si>
  <si>
    <t>3-Nov</t>
  </si>
  <si>
    <t>2-Dec</t>
  </si>
  <si>
    <t>3-Dec</t>
  </si>
  <si>
    <t>Category</t>
  </si>
  <si>
    <t>(All)</t>
  </si>
  <si>
    <t>Customer Location</t>
  </si>
  <si>
    <t>Status</t>
  </si>
  <si>
    <t/>
  </si>
  <si>
    <t>G+B34:F91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</si>
</sst>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865893840961543"/>
          <c:y val="3.551979107834044E-2"/>
          <c:w val="0.48758372252179077"/>
          <c:h val="0.85296578639096787"/>
        </c:manualLayout>
      </c:layout>
      <c:doughnutChart>
        <c:varyColors val="1"/>
        <c:ser>
          <c:idx val="0"/>
          <c:order val="0"/>
          <c:spPr>
            <a:solidFill>
              <a:schemeClr val="bg2">
                <a:lumMod val="5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24EB-4A7C-923A-DA96E3F977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EB-4A7C-923A-DA96E3F97721}"/>
              </c:ext>
            </c:extLst>
          </c:dPt>
          <c:val>
            <c:numRef>
              <c:f>'Support sheet'!$H$3:$H$4</c:f>
              <c:numCache>
                <c:formatCode>General</c:formatCode>
                <c:ptCount val="2"/>
                <c:pt idx="0">
                  <c:v>243845</c:v>
                </c:pt>
                <c:pt idx="1">
                  <c:v>56155</c:v>
                </c:pt>
              </c:numCache>
            </c:numRef>
          </c:val>
          <c:extLst>
            <c:ext xmlns:c16="http://schemas.microsoft.com/office/drawing/2014/chart" uri="{C3380CC4-5D6E-409C-BE32-E72D297353CC}">
              <c16:uniqueId val="{00000004-24EB-4A7C-923A-DA96E3F97721}"/>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[Book1.xlsx]Support sheet!PivotTable4</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'Support sheet'!$B$21</c:f>
              <c:strCache>
                <c:ptCount val="1"/>
                <c:pt idx="0">
                  <c:v>Total</c:v>
                </c:pt>
              </c:strCache>
            </c:strRef>
          </c:tx>
          <c:spPr>
            <a:solidFill>
              <a:schemeClr val="accent2"/>
            </a:solidFill>
            <a:ln>
              <a:noFill/>
            </a:ln>
            <a:effectLst/>
          </c:spPr>
          <c:invertIfNegative val="0"/>
          <c:cat>
            <c:strRef>
              <c:f>'Support sheet'!$A$22:$A$24</c:f>
              <c:strCache>
                <c:ptCount val="3"/>
                <c:pt idx="0">
                  <c:v>Cancelled</c:v>
                </c:pt>
                <c:pt idx="1">
                  <c:v>Completed</c:v>
                </c:pt>
                <c:pt idx="2">
                  <c:v>Pending</c:v>
                </c:pt>
              </c:strCache>
            </c:strRef>
          </c:cat>
          <c:val>
            <c:numRef>
              <c:f>'Support sheet'!$B$22:$B$24</c:f>
              <c:numCache>
                <c:formatCode>General</c:formatCode>
                <c:ptCount val="3"/>
                <c:pt idx="0">
                  <c:v>65030</c:v>
                </c:pt>
                <c:pt idx="1">
                  <c:v>88530</c:v>
                </c:pt>
                <c:pt idx="2">
                  <c:v>90285</c:v>
                </c:pt>
              </c:numCache>
            </c:numRef>
          </c:val>
          <c:extLst>
            <c:ext xmlns:c16="http://schemas.microsoft.com/office/drawing/2014/chart" uri="{C3380CC4-5D6E-409C-BE32-E72D297353CC}">
              <c16:uniqueId val="{00000000-844C-4CD3-BAFB-6826BF2F25A0}"/>
            </c:ext>
          </c:extLst>
        </c:ser>
        <c:dLbls>
          <c:showLegendKey val="0"/>
          <c:showVal val="0"/>
          <c:showCatName val="0"/>
          <c:showSerName val="0"/>
          <c:showPercent val="0"/>
          <c:showBubbleSize val="0"/>
        </c:dLbls>
        <c:gapWidth val="150"/>
        <c:overlap val="100"/>
        <c:axId val="376461920"/>
        <c:axId val="202424912"/>
      </c:barChart>
      <c:catAx>
        <c:axId val="37646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4912"/>
        <c:crosses val="autoZero"/>
        <c:auto val="1"/>
        <c:lblAlgn val="ctr"/>
        <c:lblOffset val="100"/>
        <c:noMultiLvlLbl val="0"/>
      </c:catAx>
      <c:valAx>
        <c:axId val="202424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6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139305400635984"/>
          <c:y val="0.17418931873861901"/>
          <c:w val="0.40287467191601051"/>
          <c:h val="0.6714577865266842"/>
        </c:manualLayout>
      </c:layout>
      <c:doughnutChart>
        <c:varyColors val="1"/>
        <c:ser>
          <c:idx val="0"/>
          <c:order val="0"/>
          <c:spPr>
            <a:solidFill>
              <a:schemeClr val="bg2">
                <a:lumMod val="5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2B40-4044-8F41-6119FAB450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40-4044-8F41-6119FAB450A6}"/>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2B40-4044-8F41-6119FAB450A6}"/>
              </c:ext>
            </c:extLst>
          </c:dPt>
          <c:val>
            <c:numRef>
              <c:f>'Support sheet'!$L$3:$L$5</c:f>
              <c:numCache>
                <c:formatCode>General</c:formatCode>
                <c:ptCount val="3"/>
                <c:pt idx="0">
                  <c:v>250</c:v>
                </c:pt>
                <c:pt idx="1">
                  <c:v>50</c:v>
                </c:pt>
              </c:numCache>
            </c:numRef>
          </c:val>
          <c:extLst>
            <c:ext xmlns:c16="http://schemas.microsoft.com/office/drawing/2014/chart" uri="{C3380CC4-5D6E-409C-BE32-E72D297353CC}">
              <c16:uniqueId val="{00000006-2B40-4044-8F41-6119FAB450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[Book1.xlsx]Support sheet!PivotTable5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lumMod val="110000"/>
                  <a:satMod val="105000"/>
                  <a:tint val="67000"/>
                </a:schemeClr>
              </a:gs>
              <a:gs pos="50000">
                <a:schemeClr val="dk1">
                  <a:tint val="88500"/>
                  <a:lumMod val="105000"/>
                  <a:satMod val="103000"/>
                  <a:tint val="73000"/>
                </a:schemeClr>
              </a:gs>
              <a:gs pos="100000">
                <a:schemeClr val="dk1">
                  <a:tint val="88500"/>
                  <a:lumMod val="105000"/>
                  <a:satMod val="109000"/>
                  <a:tint val="81000"/>
                </a:schemeClr>
              </a:gs>
            </a:gsLst>
            <a:lin ang="5400000" scaled="0"/>
          </a:gradFill>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 sheet'!$J$21</c:f>
              <c:strCache>
                <c:ptCount val="1"/>
                <c:pt idx="0">
                  <c:v>Total</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cat>
            <c:strRef>
              <c:f>'Support sheet'!$I$22:$I$26</c:f>
              <c:strCache>
                <c:ptCount val="5"/>
                <c:pt idx="0">
                  <c:v>Amazon Pay</c:v>
                </c:pt>
                <c:pt idx="1">
                  <c:v>Credit Card</c:v>
                </c:pt>
                <c:pt idx="2">
                  <c:v>Debit Card</c:v>
                </c:pt>
                <c:pt idx="3">
                  <c:v>Gift Card</c:v>
                </c:pt>
                <c:pt idx="4">
                  <c:v>PayPal</c:v>
                </c:pt>
              </c:strCache>
            </c:strRef>
          </c:cat>
          <c:val>
            <c:numRef>
              <c:f>'Support sheet'!$J$22:$J$26</c:f>
              <c:numCache>
                <c:formatCode>General</c:formatCode>
                <c:ptCount val="5"/>
                <c:pt idx="0">
                  <c:v>41</c:v>
                </c:pt>
                <c:pt idx="1">
                  <c:v>54</c:v>
                </c:pt>
                <c:pt idx="2">
                  <c:v>53</c:v>
                </c:pt>
                <c:pt idx="3">
                  <c:v>42</c:v>
                </c:pt>
                <c:pt idx="4">
                  <c:v>60</c:v>
                </c:pt>
              </c:numCache>
            </c:numRef>
          </c:val>
          <c:smooth val="0"/>
          <c:extLst>
            <c:ext xmlns:c16="http://schemas.microsoft.com/office/drawing/2014/chart" uri="{C3380CC4-5D6E-409C-BE32-E72D297353CC}">
              <c16:uniqueId val="{00000000-D462-4D3C-92B1-54A2B286176D}"/>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54139792"/>
        <c:axId val="402436768"/>
      </c:lineChart>
      <c:catAx>
        <c:axId val="12541397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02436768"/>
        <c:crosses val="autoZero"/>
        <c:auto val="1"/>
        <c:lblAlgn val="ctr"/>
        <c:lblOffset val="100"/>
        <c:noMultiLvlLbl val="0"/>
      </c:catAx>
      <c:valAx>
        <c:axId val="40243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5413979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823282118388494"/>
          <c:y val="5.3466986766920778E-2"/>
          <c:w val="0.48758372252179077"/>
          <c:h val="0.85296578639096787"/>
        </c:manualLayout>
      </c:layout>
      <c:doughnutChart>
        <c:varyColors val="1"/>
        <c:ser>
          <c:idx val="0"/>
          <c:order val="0"/>
          <c:spPr>
            <a:solidFill>
              <a:schemeClr val="bg2">
                <a:lumMod val="5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3-EF50-4E01-A412-5C226DD83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F50-4E01-A412-5C226DD83F0F}"/>
              </c:ext>
            </c:extLst>
          </c:dPt>
          <c:val>
            <c:numRef>
              <c:f>'Support sheet'!$H$3:$H$4</c:f>
              <c:numCache>
                <c:formatCode>General</c:formatCode>
                <c:ptCount val="2"/>
                <c:pt idx="0">
                  <c:v>243845</c:v>
                </c:pt>
                <c:pt idx="1">
                  <c:v>56155</c:v>
                </c:pt>
              </c:numCache>
            </c:numRef>
          </c:val>
          <c:extLst>
            <c:ext xmlns:c16="http://schemas.microsoft.com/office/drawing/2014/chart" uri="{C3380CC4-5D6E-409C-BE32-E72D297353CC}">
              <c16:uniqueId val="{00000000-EF50-4E01-A412-5C226DD83F0F}"/>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911832895888016"/>
          <c:y val="0.18560185185185185"/>
          <c:w val="0.40287467191601051"/>
          <c:h val="0.6714577865266842"/>
        </c:manualLayout>
      </c:layout>
      <c:doughnutChart>
        <c:varyColors val="1"/>
        <c:ser>
          <c:idx val="0"/>
          <c:order val="0"/>
          <c:spPr>
            <a:solidFill>
              <a:schemeClr val="bg2">
                <a:lumMod val="50000"/>
              </a:schemeClr>
            </a:solidFill>
          </c:spPr>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A55-4C4A-ACF7-6A4363A6FD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4DEE-4C90-98E3-FB929EA10745}"/>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3A55-4C4A-ACF7-6A4363A6FD4F}"/>
              </c:ext>
            </c:extLst>
          </c:dPt>
          <c:val>
            <c:numRef>
              <c:f>'Support sheet'!$L$3:$L$5</c:f>
              <c:numCache>
                <c:formatCode>General</c:formatCode>
                <c:ptCount val="3"/>
                <c:pt idx="0">
                  <c:v>250</c:v>
                </c:pt>
                <c:pt idx="1">
                  <c:v>50</c:v>
                </c:pt>
              </c:numCache>
            </c:numRef>
          </c:val>
          <c:extLst>
            <c:ext xmlns:c16="http://schemas.microsoft.com/office/drawing/2014/chart" uri="{C3380CC4-5D6E-409C-BE32-E72D297353CC}">
              <c16:uniqueId val="{00000000-4DEE-4C90-98E3-FB929EA1074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[Book1.xlsx]Support sheet!PivotTable4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'Support sheet'!$B$21</c:f>
              <c:strCache>
                <c:ptCount val="1"/>
                <c:pt idx="0">
                  <c:v>Total</c:v>
                </c:pt>
              </c:strCache>
            </c:strRef>
          </c:tx>
          <c:spPr>
            <a:solidFill>
              <a:schemeClr val="accent2">
                <a:lumMod val="60000"/>
                <a:lumOff val="40000"/>
              </a:schemeClr>
            </a:solidFill>
            <a:ln>
              <a:noFill/>
            </a:ln>
            <a:effectLst/>
          </c:spPr>
          <c:invertIfNegative val="0"/>
          <c:cat>
            <c:strRef>
              <c:f>'Support sheet'!$A$22:$A$24</c:f>
              <c:strCache>
                <c:ptCount val="3"/>
                <c:pt idx="0">
                  <c:v>Cancelled</c:v>
                </c:pt>
                <c:pt idx="1">
                  <c:v>Completed</c:v>
                </c:pt>
                <c:pt idx="2">
                  <c:v>Pending</c:v>
                </c:pt>
              </c:strCache>
            </c:strRef>
          </c:cat>
          <c:val>
            <c:numRef>
              <c:f>'Support sheet'!$B$22:$B$24</c:f>
              <c:numCache>
                <c:formatCode>General</c:formatCode>
                <c:ptCount val="3"/>
                <c:pt idx="0">
                  <c:v>65030</c:v>
                </c:pt>
                <c:pt idx="1">
                  <c:v>88530</c:v>
                </c:pt>
                <c:pt idx="2">
                  <c:v>90285</c:v>
                </c:pt>
              </c:numCache>
            </c:numRef>
          </c:val>
          <c:extLst>
            <c:ext xmlns:c16="http://schemas.microsoft.com/office/drawing/2014/chart" uri="{C3380CC4-5D6E-409C-BE32-E72D297353CC}">
              <c16:uniqueId val="{00000000-B6C9-4268-971F-F2F7469DD158}"/>
            </c:ext>
          </c:extLst>
        </c:ser>
        <c:dLbls>
          <c:showLegendKey val="0"/>
          <c:showVal val="0"/>
          <c:showCatName val="0"/>
          <c:showSerName val="0"/>
          <c:showPercent val="0"/>
          <c:showBubbleSize val="0"/>
        </c:dLbls>
        <c:gapWidth val="150"/>
        <c:overlap val="100"/>
        <c:axId val="376461920"/>
        <c:axId val="202424912"/>
      </c:barChart>
      <c:catAx>
        <c:axId val="37646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24912"/>
        <c:crosses val="autoZero"/>
        <c:auto val="1"/>
        <c:lblAlgn val="ctr"/>
        <c:lblOffset val="100"/>
        <c:noMultiLvlLbl val="0"/>
      </c:catAx>
      <c:valAx>
        <c:axId val="202424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461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[Book1.xlsx]Support sheet!PivotTable5</c:name>
    <c:fmtId val="1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 sheet'!$J$21</c:f>
              <c:strCache>
                <c:ptCount val="1"/>
                <c:pt idx="0">
                  <c:v>Total</c:v>
                </c:pt>
              </c:strCache>
            </c:strRef>
          </c:tx>
          <c:spPr>
            <a:ln w="22225" cap="rnd" cmpd="sng" algn="ctr">
              <a:solidFill>
                <a:schemeClr val="dk1">
                  <a:tint val="88500"/>
                </a:schemeClr>
              </a:solidFill>
              <a:round/>
            </a:ln>
            <a:effectLst/>
          </c:spPr>
          <c:marker>
            <c:symbol val="circle"/>
            <c:size val="4"/>
            <c:spPr>
              <a:solidFill>
                <a:schemeClr val="dk1">
                  <a:tint val="88500"/>
                </a:schemeClr>
              </a:solidFill>
              <a:ln w="9525" cap="flat" cmpd="sng" algn="ctr">
                <a:solidFill>
                  <a:schemeClr val="dk1">
                    <a:tint val="88500"/>
                  </a:schemeClr>
                </a:solidFill>
                <a:round/>
              </a:ln>
              <a:effectLst/>
            </c:spPr>
          </c:marker>
          <c:cat>
            <c:strRef>
              <c:f>'Support sheet'!$I$22:$I$26</c:f>
              <c:strCache>
                <c:ptCount val="5"/>
                <c:pt idx="0">
                  <c:v>Amazon Pay</c:v>
                </c:pt>
                <c:pt idx="1">
                  <c:v>Credit Card</c:v>
                </c:pt>
                <c:pt idx="2">
                  <c:v>Debit Card</c:v>
                </c:pt>
                <c:pt idx="3">
                  <c:v>Gift Card</c:v>
                </c:pt>
                <c:pt idx="4">
                  <c:v>PayPal</c:v>
                </c:pt>
              </c:strCache>
            </c:strRef>
          </c:cat>
          <c:val>
            <c:numRef>
              <c:f>'Support sheet'!$J$22:$J$26</c:f>
              <c:numCache>
                <c:formatCode>General</c:formatCode>
                <c:ptCount val="5"/>
                <c:pt idx="0">
                  <c:v>41</c:v>
                </c:pt>
                <c:pt idx="1">
                  <c:v>54</c:v>
                </c:pt>
                <c:pt idx="2">
                  <c:v>53</c:v>
                </c:pt>
                <c:pt idx="3">
                  <c:v>42</c:v>
                </c:pt>
                <c:pt idx="4">
                  <c:v>60</c:v>
                </c:pt>
              </c:numCache>
            </c:numRef>
          </c:val>
          <c:smooth val="0"/>
          <c:extLst>
            <c:ext xmlns:c16="http://schemas.microsoft.com/office/drawing/2014/chart" uri="{C3380CC4-5D6E-409C-BE32-E72D297353CC}">
              <c16:uniqueId val="{00000000-412A-410D-A5BE-9A081367CE1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54139792"/>
        <c:axId val="402436768"/>
      </c:lineChart>
      <c:catAx>
        <c:axId val="125413979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02436768"/>
        <c:crosses val="autoZero"/>
        <c:auto val="1"/>
        <c:lblAlgn val="ctr"/>
        <c:lblOffset val="100"/>
        <c:noMultiLvlLbl val="0"/>
      </c:catAx>
      <c:valAx>
        <c:axId val="402436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54139792"/>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emf"/><Relationship Id="rId7" Type="http://schemas.openxmlformats.org/officeDocument/2006/relationships/chart" Target="../charts/chart2.xml"/><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627258</xdr:colOff>
      <xdr:row>2</xdr:row>
      <xdr:rowOff>34849</xdr:rowOff>
    </xdr:from>
    <xdr:to>
      <xdr:col>12</xdr:col>
      <xdr:colOff>104542</xdr:colOff>
      <xdr:row>6</xdr:row>
      <xdr:rowOff>34848</xdr:rowOff>
    </xdr:to>
    <xdr:sp macro="" textlink="">
      <xdr:nvSpPr>
        <xdr:cNvPr id="3" name="Rectangle: Rounded Corners 2">
          <a:extLst>
            <a:ext uri="{FF2B5EF4-FFF2-40B4-BE49-F238E27FC236}">
              <a16:creationId xmlns:a16="http://schemas.microsoft.com/office/drawing/2014/main" id="{80C46720-339F-44F7-AA73-96E2E038AA0B}"/>
            </a:ext>
          </a:extLst>
        </xdr:cNvPr>
        <xdr:cNvSpPr/>
      </xdr:nvSpPr>
      <xdr:spPr>
        <a:xfrm>
          <a:off x="627258" y="406556"/>
          <a:ext cx="11406766" cy="743414"/>
        </a:xfrm>
        <a:prstGeom prst="roundRect">
          <a:avLst/>
        </a:prstGeom>
        <a:solidFill>
          <a:schemeClr val="bg2">
            <a:lumMod val="75000"/>
          </a:schemeClr>
        </a:soli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oneCellAnchor>
    <xdr:from>
      <xdr:col>2</xdr:col>
      <xdr:colOff>252230</xdr:colOff>
      <xdr:row>2</xdr:row>
      <xdr:rowOff>28844</xdr:rowOff>
    </xdr:from>
    <xdr:ext cx="9873475" cy="1125108"/>
    <xdr:sp macro="" textlink="">
      <xdr:nvSpPr>
        <xdr:cNvPr id="4" name="Rectangle 3">
          <a:extLst>
            <a:ext uri="{FF2B5EF4-FFF2-40B4-BE49-F238E27FC236}">
              <a16:creationId xmlns:a16="http://schemas.microsoft.com/office/drawing/2014/main" id="{5DAAE797-23AE-487E-A94E-0DBE5EFAEDB7}"/>
            </a:ext>
          </a:extLst>
        </xdr:cNvPr>
        <xdr:cNvSpPr/>
      </xdr:nvSpPr>
      <xdr:spPr>
        <a:xfrm>
          <a:off x="2511016" y="409844"/>
          <a:ext cx="9873475" cy="1125108"/>
        </a:xfrm>
        <a:prstGeom prst="rect">
          <a:avLst/>
        </a:prstGeom>
        <a:noFill/>
      </xdr:spPr>
      <xdr:txBody>
        <a:bodyPr wrap="square" lIns="91440" tIns="45720" rIns="91440" bIns="45720">
          <a:noAutofit/>
        </a:bodyPr>
        <a:lstStyle/>
        <a:p>
          <a:pPr algn="ctr"/>
          <a:r>
            <a:rPr lang="en-US" sz="4000" b="0" cap="none" spc="0">
              <a:ln w="0"/>
              <a:solidFill>
                <a:schemeClr val="bg1"/>
              </a:solidFill>
              <a:effectLst>
                <a:outerShdw blurRad="38100" dist="19050" dir="2700000" algn="tl" rotWithShape="0">
                  <a:schemeClr val="dk1">
                    <a:alpha val="40000"/>
                  </a:schemeClr>
                </a:outerShdw>
              </a:effectLst>
            </a:rPr>
            <a:t> Automated Workbook</a:t>
          </a:r>
        </a:p>
      </xdr:txBody>
    </xdr:sp>
    <xdr:clientData/>
  </xdr:oneCellAnchor>
  <xdr:twoCellAnchor editAs="oneCell">
    <xdr:from>
      <xdr:col>3</xdr:col>
      <xdr:colOff>139392</xdr:colOff>
      <xdr:row>1</xdr:row>
      <xdr:rowOff>124261</xdr:rowOff>
    </xdr:from>
    <xdr:to>
      <xdr:col>5</xdr:col>
      <xdr:colOff>127776</xdr:colOff>
      <xdr:row>6</xdr:row>
      <xdr:rowOff>169365</xdr:rowOff>
    </xdr:to>
    <xdr:pic>
      <xdr:nvPicPr>
        <xdr:cNvPr id="8" name="Picture 7">
          <a:extLst>
            <a:ext uri="{FF2B5EF4-FFF2-40B4-BE49-F238E27FC236}">
              <a16:creationId xmlns:a16="http://schemas.microsoft.com/office/drawing/2014/main" id="{01A2D482-C259-437A-98BB-3E6018D315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3355" y="310115"/>
          <a:ext cx="2207012" cy="974372"/>
        </a:xfrm>
        <a:prstGeom prst="rect">
          <a:avLst/>
        </a:prstGeom>
      </xdr:spPr>
    </xdr:pic>
    <xdr:clientData/>
  </xdr:twoCellAnchor>
  <xdr:twoCellAnchor editAs="oneCell">
    <xdr:from>
      <xdr:col>0</xdr:col>
      <xdr:colOff>673719</xdr:colOff>
      <xdr:row>6</xdr:row>
      <xdr:rowOff>116158</xdr:rowOff>
    </xdr:from>
    <xdr:to>
      <xdr:col>2</xdr:col>
      <xdr:colOff>249043</xdr:colOff>
      <xdr:row>15</xdr:row>
      <xdr:rowOff>127774</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6847BCC7-DCDF-45F3-B112-19E55A9F2C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3719" y="1259158"/>
              <a:ext cx="1834110" cy="1726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674302</xdr:colOff>
      <xdr:row>24</xdr:row>
      <xdr:rowOff>46752</xdr:rowOff>
    </xdr:from>
    <xdr:to>
      <xdr:col>2</xdr:col>
      <xdr:colOff>249626</xdr:colOff>
      <xdr:row>33</xdr:row>
      <xdr:rowOff>83343</xdr:rowOff>
    </xdr:to>
    <mc:AlternateContent xmlns:mc="http://schemas.openxmlformats.org/markup-compatibility/2006" xmlns:a14="http://schemas.microsoft.com/office/drawing/2010/main">
      <mc:Choice Requires="a14">
        <xdr:graphicFrame macro="">
          <xdr:nvGraphicFramePr>
            <xdr:cNvPr id="10" name="Customer Location">
              <a:extLst>
                <a:ext uri="{FF2B5EF4-FFF2-40B4-BE49-F238E27FC236}">
                  <a16:creationId xmlns:a16="http://schemas.microsoft.com/office/drawing/2014/main" id="{AECCB07A-9EF8-4F13-BB09-E74E7864605A}"/>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674302" y="4618752"/>
              <a:ext cx="1834110" cy="1751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663499</xdr:colOff>
      <xdr:row>16</xdr:row>
      <xdr:rowOff>1393</xdr:rowOff>
    </xdr:from>
    <xdr:to>
      <xdr:col>2</xdr:col>
      <xdr:colOff>238823</xdr:colOff>
      <xdr:row>23</xdr:row>
      <xdr:rowOff>151005</xdr:rowOff>
    </xdr:to>
    <mc:AlternateContent xmlns:mc="http://schemas.openxmlformats.org/markup-compatibility/2006" xmlns:a14="http://schemas.microsoft.com/office/drawing/2010/main">
      <mc:Choice Requires="a14">
        <xdr:graphicFrame macro="">
          <xdr:nvGraphicFramePr>
            <xdr:cNvPr id="11" name="Month Name">
              <a:extLst>
                <a:ext uri="{FF2B5EF4-FFF2-40B4-BE49-F238E27FC236}">
                  <a16:creationId xmlns:a16="http://schemas.microsoft.com/office/drawing/2014/main" id="{07A734A4-8649-49B2-8B39-AAC440BBD29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63499" y="3049393"/>
              <a:ext cx="1834110" cy="1483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503895</xdr:colOff>
      <xdr:row>7</xdr:row>
      <xdr:rowOff>174238</xdr:rowOff>
    </xdr:from>
    <xdr:to>
      <xdr:col>5</xdr:col>
      <xdr:colOff>267168</xdr:colOff>
      <xdr:row>15</xdr:row>
      <xdr:rowOff>104543</xdr:rowOff>
    </xdr:to>
    <xdr:grpSp>
      <xdr:nvGrpSpPr>
        <xdr:cNvPr id="21" name="Group 20">
          <a:extLst>
            <a:ext uri="{FF2B5EF4-FFF2-40B4-BE49-F238E27FC236}">
              <a16:creationId xmlns:a16="http://schemas.microsoft.com/office/drawing/2014/main" id="{8C8A71DE-A68E-4794-A73C-FE83C24FE558}"/>
            </a:ext>
          </a:extLst>
        </xdr:cNvPr>
        <xdr:cNvGrpSpPr/>
      </xdr:nvGrpSpPr>
      <xdr:grpSpPr>
        <a:xfrm>
          <a:off x="2762681" y="1507738"/>
          <a:ext cx="2634380" cy="1454305"/>
          <a:chOff x="2874071" y="1463598"/>
          <a:chExt cx="2678307" cy="1300974"/>
        </a:xfrm>
      </xdr:grpSpPr>
      <xdr:sp macro="" textlink="">
        <xdr:nvSpPr>
          <xdr:cNvPr id="12" name="Rectangle: Rounded Corners 11">
            <a:extLst>
              <a:ext uri="{FF2B5EF4-FFF2-40B4-BE49-F238E27FC236}">
                <a16:creationId xmlns:a16="http://schemas.microsoft.com/office/drawing/2014/main" id="{E1053652-3534-4402-B190-8EFB301DCFAF}"/>
              </a:ext>
            </a:extLst>
          </xdr:cNvPr>
          <xdr:cNvSpPr/>
        </xdr:nvSpPr>
        <xdr:spPr>
          <a:xfrm>
            <a:off x="3043354" y="1463598"/>
            <a:ext cx="1823689" cy="824725"/>
          </a:xfrm>
          <a:prstGeom prst="roundRect">
            <a:avLst/>
          </a:prstGeom>
          <a:solidFill>
            <a:schemeClr val="bg1">
              <a:lumMod val="5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 sheet'!A1">
        <xdr:nvSpPr>
          <xdr:cNvPr id="13" name="TextBox 12">
            <a:extLst>
              <a:ext uri="{FF2B5EF4-FFF2-40B4-BE49-F238E27FC236}">
                <a16:creationId xmlns:a16="http://schemas.microsoft.com/office/drawing/2014/main" id="{E65FC826-997A-4DE9-A0BB-326A2C11B1D7}"/>
              </a:ext>
            </a:extLst>
          </xdr:cNvPr>
          <xdr:cNvSpPr txBox="1"/>
        </xdr:nvSpPr>
        <xdr:spPr>
          <a:xfrm>
            <a:off x="3228193" y="1963078"/>
            <a:ext cx="1533293" cy="80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DF3189-B513-4F6C-BB6D-97518E06EDA2}"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Count of Product</a:t>
            </a:fld>
            <a:endParaRPr lang="en-US" sz="1400" b="1" cap="none" spc="0">
              <a:ln w="0"/>
              <a:solidFill>
                <a:schemeClr val="tx1"/>
              </a:solidFill>
              <a:effectLst>
                <a:outerShdw blurRad="38100" dist="19050" dir="2700000" algn="tl" rotWithShape="0">
                  <a:schemeClr val="dk1">
                    <a:alpha val="40000"/>
                  </a:schemeClr>
                </a:outerShdw>
              </a:effectLst>
            </a:endParaRPr>
          </a:p>
        </xdr:txBody>
      </xdr:sp>
      <xdr:sp macro="" textlink="'Support sheet'!A2">
        <xdr:nvSpPr>
          <xdr:cNvPr id="16" name="TextBox 15">
            <a:extLst>
              <a:ext uri="{FF2B5EF4-FFF2-40B4-BE49-F238E27FC236}">
                <a16:creationId xmlns:a16="http://schemas.microsoft.com/office/drawing/2014/main" id="{C4BFBB55-88F6-4C77-A6B2-9CF206155DA8}"/>
              </a:ext>
            </a:extLst>
          </xdr:cNvPr>
          <xdr:cNvSpPr txBox="1"/>
        </xdr:nvSpPr>
        <xdr:spPr>
          <a:xfrm>
            <a:off x="3683621" y="1475214"/>
            <a:ext cx="1868757" cy="686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38538F-3412-447D-9F38-C032D54D1A9D}" type="TxLink">
              <a:rPr lang="en-US" sz="1600" b="1"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Calibri"/>
                <a:cs typeface="Calibri"/>
              </a:rPr>
              <a:pPr/>
              <a:t>250</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mc:AlternateContent xmlns:mc="http://schemas.openxmlformats.org/markup-compatibility/2006" xmlns:a14="http://schemas.microsoft.com/office/drawing/2010/main">
        <mc:Choice Requires="a14">
          <xdr:pic>
            <xdr:nvPicPr>
              <xdr:cNvPr id="20" name="Picture 19">
                <a:extLst>
                  <a:ext uri="{FF2B5EF4-FFF2-40B4-BE49-F238E27FC236}">
                    <a16:creationId xmlns:a16="http://schemas.microsoft.com/office/drawing/2014/main" id="{FC0B88A3-C265-40BC-9062-7577B892FB95}"/>
                  </a:ext>
                </a:extLst>
              </xdr:cNvPr>
              <xdr:cNvPicPr>
                <a:picLocks noChangeAspect="1" noChangeArrowheads="1"/>
                <a:extLst>
                  <a:ext uri="{84589F7E-364E-4C9E-8A38-B11213B215E9}">
                    <a14:cameraTool cellRange="'Support sheet'!$A$3" spid="_x0000_s1093"/>
                  </a:ext>
                </a:extLst>
              </xdr:cNvPicPr>
            </xdr:nvPicPr>
            <xdr:blipFill>
              <a:blip xmlns:r="http://schemas.openxmlformats.org/officeDocument/2006/relationships" r:embed="rId2"/>
              <a:srcRect/>
              <a:stretch>
                <a:fillRect/>
              </a:stretch>
            </xdr:blipFill>
            <xdr:spPr bwMode="auto">
              <a:xfrm>
                <a:off x="2874071" y="1542790"/>
                <a:ext cx="2111182" cy="54713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5</xdr:col>
      <xdr:colOff>77022</xdr:colOff>
      <xdr:row>7</xdr:row>
      <xdr:rowOff>129450</xdr:rowOff>
    </xdr:from>
    <xdr:to>
      <xdr:col>8</xdr:col>
      <xdr:colOff>92061</xdr:colOff>
      <xdr:row>15</xdr:row>
      <xdr:rowOff>81950</xdr:rowOff>
    </xdr:to>
    <xdr:grpSp>
      <xdr:nvGrpSpPr>
        <xdr:cNvPr id="22" name="Group 21">
          <a:extLst>
            <a:ext uri="{FF2B5EF4-FFF2-40B4-BE49-F238E27FC236}">
              <a16:creationId xmlns:a16="http://schemas.microsoft.com/office/drawing/2014/main" id="{5DDB7752-C1EC-4E1A-8DEB-77D2A4D2E84D}"/>
            </a:ext>
          </a:extLst>
        </xdr:cNvPr>
        <xdr:cNvGrpSpPr/>
      </xdr:nvGrpSpPr>
      <xdr:grpSpPr>
        <a:xfrm>
          <a:off x="5206915" y="1462950"/>
          <a:ext cx="2328253" cy="1476500"/>
          <a:chOff x="3043354" y="1443222"/>
          <a:chExt cx="2367197" cy="1321350"/>
        </a:xfrm>
      </xdr:grpSpPr>
      <xdr:sp macro="" textlink="">
        <xdr:nvSpPr>
          <xdr:cNvPr id="23" name="Rectangle: Rounded Corners 22">
            <a:extLst>
              <a:ext uri="{FF2B5EF4-FFF2-40B4-BE49-F238E27FC236}">
                <a16:creationId xmlns:a16="http://schemas.microsoft.com/office/drawing/2014/main" id="{9F641E11-AA04-4CCF-9741-805CDD2932B8}"/>
              </a:ext>
            </a:extLst>
          </xdr:cNvPr>
          <xdr:cNvSpPr/>
        </xdr:nvSpPr>
        <xdr:spPr>
          <a:xfrm>
            <a:off x="3043354" y="1463598"/>
            <a:ext cx="1823689" cy="824725"/>
          </a:xfrm>
          <a:prstGeom prst="roundRect">
            <a:avLst/>
          </a:prstGeom>
          <a:solidFill>
            <a:schemeClr val="bg1">
              <a:lumMod val="5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 sheet'!B1">
        <xdr:nvSpPr>
          <xdr:cNvPr id="24" name="TextBox 23">
            <a:extLst>
              <a:ext uri="{FF2B5EF4-FFF2-40B4-BE49-F238E27FC236}">
                <a16:creationId xmlns:a16="http://schemas.microsoft.com/office/drawing/2014/main" id="{2B425644-F51F-47C3-B2A0-33F0D44B3A2E}"/>
              </a:ext>
            </a:extLst>
          </xdr:cNvPr>
          <xdr:cNvSpPr txBox="1"/>
        </xdr:nvSpPr>
        <xdr:spPr>
          <a:xfrm>
            <a:off x="3370021" y="1963078"/>
            <a:ext cx="1533293" cy="80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995019-E9AB-47DE-B624-B49D2149240A}"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Sum of Price</a:t>
            </a:fld>
            <a:endParaRPr lang="en-US" sz="1400" b="1" cap="none" spc="0">
              <a:ln w="0"/>
              <a:solidFill>
                <a:schemeClr val="tx1"/>
              </a:solidFill>
              <a:effectLst>
                <a:outerShdw blurRad="38100" dist="19050" dir="2700000" algn="tl" rotWithShape="0">
                  <a:schemeClr val="dk1">
                    <a:alpha val="40000"/>
                  </a:schemeClr>
                </a:outerShdw>
              </a:effectLst>
            </a:endParaRPr>
          </a:p>
        </xdr:txBody>
      </xdr:sp>
      <xdr:sp macro="" textlink="'Support sheet'!B2">
        <xdr:nvSpPr>
          <xdr:cNvPr id="25" name="TextBox 24">
            <a:extLst>
              <a:ext uri="{FF2B5EF4-FFF2-40B4-BE49-F238E27FC236}">
                <a16:creationId xmlns:a16="http://schemas.microsoft.com/office/drawing/2014/main" id="{AD787B8A-A6EE-4A6E-AF4A-7232F5B27275}"/>
              </a:ext>
            </a:extLst>
          </xdr:cNvPr>
          <xdr:cNvSpPr txBox="1"/>
        </xdr:nvSpPr>
        <xdr:spPr>
          <a:xfrm>
            <a:off x="3541794" y="1443222"/>
            <a:ext cx="1868757" cy="686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FEC1D3-DDED-4BC5-8659-EC1739A1FDE2}"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Calibri" panose="020F0502020204030204" pitchFamily="34" charset="0"/>
                <a:cs typeface="Calibri" panose="020F0502020204030204" pitchFamily="34" charset="0"/>
              </a:rPr>
              <a:pPr/>
              <a:t>85895</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Calibri" panose="020F0502020204030204" pitchFamily="34" charset="0"/>
              <a:cs typeface="Calibri" panose="020F0502020204030204" pitchFamily="34" charset="0"/>
            </a:endParaRPr>
          </a:p>
        </xdr:txBody>
      </xdr:sp>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93D7DB1C-9F8C-4F77-B615-9D3E49FC7A7C}"/>
                  </a:ext>
                </a:extLst>
              </xdr:cNvPr>
              <xdr:cNvPicPr>
                <a:picLocks noChangeAspect="1" noChangeArrowheads="1"/>
                <a:extLst>
                  <a:ext uri="{84589F7E-364E-4C9E-8A38-B11213B215E9}">
                    <a14:cameraTool cellRange="'Support sheet'!$B$3" spid="_x0000_s1094"/>
                  </a:ext>
                </a:extLst>
              </xdr:cNvPicPr>
            </xdr:nvPicPr>
            <xdr:blipFill>
              <a:blip xmlns:r="http://schemas.openxmlformats.org/officeDocument/2006/relationships" r:embed="rId3"/>
              <a:srcRect/>
              <a:stretch>
                <a:fillRect/>
              </a:stretch>
            </xdr:blipFill>
            <xdr:spPr bwMode="auto">
              <a:xfrm>
                <a:off x="3089981" y="1554163"/>
                <a:ext cx="1851206" cy="54713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7</xdr:col>
      <xdr:colOff>818803</xdr:colOff>
      <xdr:row>7</xdr:row>
      <xdr:rowOff>165410</xdr:rowOff>
    </xdr:from>
    <xdr:to>
      <xdr:col>9</xdr:col>
      <xdr:colOff>1280533</xdr:colOff>
      <xdr:row>15</xdr:row>
      <xdr:rowOff>95715</xdr:rowOff>
    </xdr:to>
    <xdr:grpSp>
      <xdr:nvGrpSpPr>
        <xdr:cNvPr id="27" name="Group 26">
          <a:extLst>
            <a:ext uri="{FF2B5EF4-FFF2-40B4-BE49-F238E27FC236}">
              <a16:creationId xmlns:a16="http://schemas.microsoft.com/office/drawing/2014/main" id="{CEB253EB-791E-47DA-9ACC-55913A4F04A9}"/>
            </a:ext>
          </a:extLst>
        </xdr:cNvPr>
        <xdr:cNvGrpSpPr/>
      </xdr:nvGrpSpPr>
      <xdr:grpSpPr>
        <a:xfrm>
          <a:off x="7418267" y="1498910"/>
          <a:ext cx="2489195" cy="1454305"/>
          <a:chOff x="3014255" y="1463598"/>
          <a:chExt cx="2538123" cy="1300974"/>
        </a:xfrm>
      </xdr:grpSpPr>
      <xdr:sp macro="" textlink="">
        <xdr:nvSpPr>
          <xdr:cNvPr id="28" name="Rectangle: Rounded Corners 27">
            <a:extLst>
              <a:ext uri="{FF2B5EF4-FFF2-40B4-BE49-F238E27FC236}">
                <a16:creationId xmlns:a16="http://schemas.microsoft.com/office/drawing/2014/main" id="{9FEEC4C8-10AE-4E34-A066-39CCEE3C8B2B}"/>
              </a:ext>
            </a:extLst>
          </xdr:cNvPr>
          <xdr:cNvSpPr/>
        </xdr:nvSpPr>
        <xdr:spPr>
          <a:xfrm>
            <a:off x="3043354" y="1463598"/>
            <a:ext cx="1823689" cy="824725"/>
          </a:xfrm>
          <a:prstGeom prst="roundRect">
            <a:avLst/>
          </a:prstGeom>
          <a:solidFill>
            <a:schemeClr val="bg1">
              <a:lumMod val="5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 sheet'!C1">
        <xdr:nvSpPr>
          <xdr:cNvPr id="29" name="TextBox 28">
            <a:extLst>
              <a:ext uri="{FF2B5EF4-FFF2-40B4-BE49-F238E27FC236}">
                <a16:creationId xmlns:a16="http://schemas.microsoft.com/office/drawing/2014/main" id="{E4BAC542-A06F-443B-8296-FCDA693D8C89}"/>
              </a:ext>
            </a:extLst>
          </xdr:cNvPr>
          <xdr:cNvSpPr txBox="1"/>
        </xdr:nvSpPr>
        <xdr:spPr>
          <a:xfrm>
            <a:off x="3251831" y="1963078"/>
            <a:ext cx="1533293" cy="80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C63DBE-9024-4BC9-BAF8-999445DDF41D}"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Sum of Quantity</a:t>
            </a:fld>
            <a:endParaRPr lang="en-US" sz="1400" b="1" cap="none" spc="0">
              <a:ln w="0"/>
              <a:solidFill>
                <a:schemeClr val="tx1"/>
              </a:solidFill>
              <a:effectLst>
                <a:outerShdw blurRad="38100" dist="19050" dir="2700000" algn="tl" rotWithShape="0">
                  <a:schemeClr val="dk1">
                    <a:alpha val="40000"/>
                  </a:schemeClr>
                </a:outerShdw>
              </a:effectLst>
            </a:endParaRPr>
          </a:p>
        </xdr:txBody>
      </xdr:sp>
      <xdr:sp macro="" textlink="'Support sheet'!C2">
        <xdr:nvSpPr>
          <xdr:cNvPr id="30" name="TextBox 29">
            <a:extLst>
              <a:ext uri="{FF2B5EF4-FFF2-40B4-BE49-F238E27FC236}">
                <a16:creationId xmlns:a16="http://schemas.microsoft.com/office/drawing/2014/main" id="{0619D482-5D54-4B00-8A1C-221FA5115E34}"/>
              </a:ext>
            </a:extLst>
          </xdr:cNvPr>
          <xdr:cNvSpPr txBox="1"/>
        </xdr:nvSpPr>
        <xdr:spPr>
          <a:xfrm>
            <a:off x="3683621" y="1475214"/>
            <a:ext cx="1868757" cy="686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5BE9DF-C7B1-4B1F-9BBE-789DAED28EE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Calibri"/>
                <a:cs typeface="Calibri"/>
              </a:rPr>
              <a:pPr/>
              <a:t>714</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E510DC21-8447-488D-836A-3D56EC09E544}"/>
                  </a:ext>
                </a:extLst>
              </xdr:cNvPr>
              <xdr:cNvPicPr>
                <a:picLocks noChangeAspect="1" noChangeArrowheads="1"/>
                <a:extLst>
                  <a:ext uri="{84589F7E-364E-4C9E-8A38-B11213B215E9}">
                    <a14:cameraTool cellRange="'Support sheet'!$C$3" spid="_x0000_s1095"/>
                  </a:ext>
                </a:extLst>
              </xdr:cNvPicPr>
            </xdr:nvPicPr>
            <xdr:blipFill>
              <a:blip xmlns:r="http://schemas.openxmlformats.org/officeDocument/2006/relationships" r:embed="rId4"/>
              <a:srcRect/>
              <a:stretch>
                <a:fillRect/>
              </a:stretch>
            </xdr:blipFill>
            <xdr:spPr bwMode="auto">
              <a:xfrm>
                <a:off x="3014255" y="1520038"/>
                <a:ext cx="1932519" cy="538169"/>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9</xdr:col>
      <xdr:colOff>996139</xdr:colOff>
      <xdr:row>7</xdr:row>
      <xdr:rowOff>167384</xdr:rowOff>
    </xdr:from>
    <xdr:to>
      <xdr:col>12</xdr:col>
      <xdr:colOff>32739</xdr:colOff>
      <xdr:row>15</xdr:row>
      <xdr:rowOff>97689</xdr:rowOff>
    </xdr:to>
    <xdr:grpSp>
      <xdr:nvGrpSpPr>
        <xdr:cNvPr id="32" name="Group 31">
          <a:extLst>
            <a:ext uri="{FF2B5EF4-FFF2-40B4-BE49-F238E27FC236}">
              <a16:creationId xmlns:a16="http://schemas.microsoft.com/office/drawing/2014/main" id="{B15A1C95-4D19-4759-BB10-603E6ECDA317}"/>
            </a:ext>
          </a:extLst>
        </xdr:cNvPr>
        <xdr:cNvGrpSpPr/>
      </xdr:nvGrpSpPr>
      <xdr:grpSpPr>
        <a:xfrm>
          <a:off x="9623068" y="1500884"/>
          <a:ext cx="2343135" cy="1454305"/>
          <a:chOff x="2979563" y="1463598"/>
          <a:chExt cx="2395530" cy="1300974"/>
        </a:xfrm>
      </xdr:grpSpPr>
      <xdr:sp macro="" textlink="">
        <xdr:nvSpPr>
          <xdr:cNvPr id="33" name="Rectangle: Rounded Corners 32">
            <a:extLst>
              <a:ext uri="{FF2B5EF4-FFF2-40B4-BE49-F238E27FC236}">
                <a16:creationId xmlns:a16="http://schemas.microsoft.com/office/drawing/2014/main" id="{DBFEF153-DB7A-44F7-A995-40428302F63B}"/>
              </a:ext>
            </a:extLst>
          </xdr:cNvPr>
          <xdr:cNvSpPr/>
        </xdr:nvSpPr>
        <xdr:spPr>
          <a:xfrm>
            <a:off x="3043354" y="1463598"/>
            <a:ext cx="1823689" cy="824725"/>
          </a:xfrm>
          <a:prstGeom prst="roundRect">
            <a:avLst/>
          </a:prstGeom>
          <a:solidFill>
            <a:schemeClr val="bg1">
              <a:lumMod val="5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 sheet'!D1">
        <xdr:nvSpPr>
          <xdr:cNvPr id="34" name="TextBox 33">
            <a:extLst>
              <a:ext uri="{FF2B5EF4-FFF2-40B4-BE49-F238E27FC236}">
                <a16:creationId xmlns:a16="http://schemas.microsoft.com/office/drawing/2014/main" id="{9412A98C-65CC-4137-8629-FC3C22AF22B1}"/>
              </a:ext>
            </a:extLst>
          </xdr:cNvPr>
          <xdr:cNvSpPr txBox="1"/>
        </xdr:nvSpPr>
        <xdr:spPr>
          <a:xfrm>
            <a:off x="3204555" y="1963078"/>
            <a:ext cx="1870811" cy="801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698B7D-C744-42DE-9279-1975B742C258}" type="TxLink">
              <a:rPr lang="en-US" sz="14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Sum of Total Sales</a:t>
            </a:fld>
            <a:endParaRPr lang="en-US" sz="1400" b="1" cap="none" spc="0">
              <a:ln w="0"/>
              <a:solidFill>
                <a:schemeClr val="tx1"/>
              </a:solidFill>
              <a:effectLst>
                <a:outerShdw blurRad="38100" dist="19050" dir="2700000" algn="tl" rotWithShape="0">
                  <a:schemeClr val="dk1">
                    <a:alpha val="40000"/>
                  </a:schemeClr>
                </a:outerShdw>
              </a:effectLst>
            </a:endParaRPr>
          </a:p>
        </xdr:txBody>
      </xdr:sp>
      <xdr:sp macro="" textlink="'Support sheet'!D2">
        <xdr:nvSpPr>
          <xdr:cNvPr id="35" name="TextBox 34">
            <a:extLst>
              <a:ext uri="{FF2B5EF4-FFF2-40B4-BE49-F238E27FC236}">
                <a16:creationId xmlns:a16="http://schemas.microsoft.com/office/drawing/2014/main" id="{925E3589-9A8D-4B5B-A35C-CCC1035E9D8D}"/>
              </a:ext>
            </a:extLst>
          </xdr:cNvPr>
          <xdr:cNvSpPr txBox="1"/>
        </xdr:nvSpPr>
        <xdr:spPr>
          <a:xfrm>
            <a:off x="3506336" y="1464550"/>
            <a:ext cx="1868757" cy="686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711225-3400-4FAA-A983-94B04C4216FA}"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Arial Black" panose="020B0A04020102020204" pitchFamily="34" charset="0"/>
                <a:ea typeface="Calibri"/>
                <a:cs typeface="Calibri"/>
              </a:rPr>
              <a:pPr/>
              <a:t>243845</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xdr:txBody>
      </xdr:sp>
      <mc:AlternateContent xmlns:mc="http://schemas.openxmlformats.org/markup-compatibility/2006" xmlns:a14="http://schemas.microsoft.com/office/drawing/2010/main">
        <mc:Choice Requires="a14">
          <xdr:pic>
            <xdr:nvPicPr>
              <xdr:cNvPr id="36" name="Picture 35">
                <a:extLst>
                  <a:ext uri="{FF2B5EF4-FFF2-40B4-BE49-F238E27FC236}">
                    <a16:creationId xmlns:a16="http://schemas.microsoft.com/office/drawing/2014/main" id="{1677EDCB-C66E-4CE7-9A81-1EDB663406FC}"/>
                  </a:ext>
                </a:extLst>
              </xdr:cNvPr>
              <xdr:cNvPicPr>
                <a:picLocks noChangeAspect="1" noChangeArrowheads="1"/>
                <a:extLst>
                  <a:ext uri="{84589F7E-364E-4C9E-8A38-B11213B215E9}">
                    <a14:cameraTool cellRange="'Support sheet'!$D$3" spid="_x0000_s1096"/>
                  </a:ext>
                </a:extLst>
              </xdr:cNvPicPr>
            </xdr:nvPicPr>
            <xdr:blipFill>
              <a:blip xmlns:r="http://schemas.openxmlformats.org/officeDocument/2006/relationships" r:embed="rId5"/>
              <a:srcRect/>
              <a:stretch>
                <a:fillRect/>
              </a:stretch>
            </xdr:blipFill>
            <xdr:spPr bwMode="auto">
              <a:xfrm>
                <a:off x="2979563" y="1553448"/>
                <a:ext cx="1892916" cy="54713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xdr:col>
      <xdr:colOff>284512</xdr:colOff>
      <xdr:row>12</xdr:row>
      <xdr:rowOff>160813</xdr:rowOff>
    </xdr:from>
    <xdr:to>
      <xdr:col>5</xdr:col>
      <xdr:colOff>457694</xdr:colOff>
      <xdr:row>24</xdr:row>
      <xdr:rowOff>57090</xdr:rowOff>
    </xdr:to>
    <xdr:graphicFrame macro="">
      <xdr:nvGraphicFramePr>
        <xdr:cNvPr id="38" name="Chart 37">
          <a:extLst>
            <a:ext uri="{FF2B5EF4-FFF2-40B4-BE49-F238E27FC236}">
              <a16:creationId xmlns:a16="http://schemas.microsoft.com/office/drawing/2014/main" id="{FA858041-07A8-4DC8-A61C-2A9316539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403069</xdr:colOff>
      <xdr:row>23</xdr:row>
      <xdr:rowOff>81310</xdr:rowOff>
    </xdr:from>
    <xdr:to>
      <xdr:col>7</xdr:col>
      <xdr:colOff>720183</xdr:colOff>
      <xdr:row>33</xdr:row>
      <xdr:rowOff>81308</xdr:rowOff>
    </xdr:to>
    <xdr:graphicFrame macro="">
      <xdr:nvGraphicFramePr>
        <xdr:cNvPr id="41" name="Chart 40">
          <a:extLst>
            <a:ext uri="{FF2B5EF4-FFF2-40B4-BE49-F238E27FC236}">
              <a16:creationId xmlns:a16="http://schemas.microsoft.com/office/drawing/2014/main" id="{4C06B8C6-8798-44AF-B0FF-E533E14E92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715658</xdr:colOff>
      <xdr:row>9</xdr:row>
      <xdr:rowOff>88099</xdr:rowOff>
    </xdr:from>
    <xdr:to>
      <xdr:col>8</xdr:col>
      <xdr:colOff>901209</xdr:colOff>
      <xdr:row>26</xdr:row>
      <xdr:rowOff>88100</xdr:rowOff>
    </xdr:to>
    <xdr:graphicFrame macro="">
      <xdr:nvGraphicFramePr>
        <xdr:cNvPr id="40" name="Chart 39">
          <a:extLst>
            <a:ext uri="{FF2B5EF4-FFF2-40B4-BE49-F238E27FC236}">
              <a16:creationId xmlns:a16="http://schemas.microsoft.com/office/drawing/2014/main" id="{AFD6DFD0-D206-4B31-A4B0-9FF8E1C4B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11617</xdr:colOff>
      <xdr:row>13</xdr:row>
      <xdr:rowOff>151006</xdr:rowOff>
    </xdr:from>
    <xdr:to>
      <xdr:col>11</xdr:col>
      <xdr:colOff>69695</xdr:colOff>
      <xdr:row>32</xdr:row>
      <xdr:rowOff>11616</xdr:rowOff>
    </xdr:to>
    <xdr:graphicFrame macro="">
      <xdr:nvGraphicFramePr>
        <xdr:cNvPr id="42" name="Chart 41">
          <a:extLst>
            <a:ext uri="{FF2B5EF4-FFF2-40B4-BE49-F238E27FC236}">
              <a16:creationId xmlns:a16="http://schemas.microsoft.com/office/drawing/2014/main" id="{442BF629-1E64-4A09-8E91-5C5337E82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0.42033</cdr:x>
      <cdr:y>0.21529</cdr:y>
    </cdr:from>
    <cdr:to>
      <cdr:x>0.67821</cdr:x>
      <cdr:y>0.43083</cdr:y>
    </cdr:to>
    <cdr:sp macro="" textlink="'Support sheet'!$I$4">
      <cdr:nvSpPr>
        <cdr:cNvPr id="2" name="TextBox 1">
          <a:extLst xmlns:a="http://schemas.openxmlformats.org/drawingml/2006/main">
            <a:ext uri="{FF2B5EF4-FFF2-40B4-BE49-F238E27FC236}">
              <a16:creationId xmlns:a16="http://schemas.microsoft.com/office/drawing/2014/main" id="{41FB1A35-3A8A-4C86-A3DE-EDF2A4E5237C}"/>
            </a:ext>
          </a:extLst>
        </cdr:cNvPr>
        <cdr:cNvSpPr txBox="1"/>
      </cdr:nvSpPr>
      <cdr:spPr>
        <a:xfrm xmlns:a="http://schemas.openxmlformats.org/drawingml/2006/main">
          <a:off x="1575458" y="457048"/>
          <a:ext cx="966573" cy="4575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D47E1E4-20A9-439B-801A-4514C8119356}" type="TxLink">
            <a:rPr lang="en-US" sz="1600" b="1"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Calibri"/>
              <a:cs typeface="Calibri"/>
            </a:rPr>
            <a:pPr/>
            <a:t>81.3%</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cdr:txBody>
    </cdr:sp>
  </cdr:relSizeAnchor>
  <cdr:relSizeAnchor xmlns:cdr="http://schemas.openxmlformats.org/drawingml/2006/chartDrawing">
    <cdr:from>
      <cdr:x>0.34323</cdr:x>
      <cdr:y>0.35545</cdr:y>
    </cdr:from>
    <cdr:to>
      <cdr:x>0.72937</cdr:x>
      <cdr:y>0.62349</cdr:y>
    </cdr:to>
    <cdr:sp macro="" textlink="">
      <cdr:nvSpPr>
        <cdr:cNvPr id="3" name="TextBox 2">
          <a:extLst xmlns:a="http://schemas.openxmlformats.org/drawingml/2006/main">
            <a:ext uri="{FF2B5EF4-FFF2-40B4-BE49-F238E27FC236}">
              <a16:creationId xmlns:a16="http://schemas.microsoft.com/office/drawing/2014/main" id="{798AB964-4AC6-43EF-8F57-F54697E9A488}"/>
            </a:ext>
          </a:extLst>
        </cdr:cNvPr>
        <cdr:cNvSpPr txBox="1"/>
      </cdr:nvSpPr>
      <cdr:spPr>
        <a:xfrm xmlns:a="http://schemas.openxmlformats.org/drawingml/2006/main">
          <a:off x="1286493" y="754577"/>
          <a:ext cx="1447307" cy="569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cap="none" spc="0">
              <a:ln w="0"/>
              <a:solidFill>
                <a:schemeClr val="tx1"/>
              </a:solidFill>
              <a:effectLst>
                <a:outerShdw blurRad="38100" dist="19050" dir="2700000" algn="tl" rotWithShape="0">
                  <a:schemeClr val="dk1">
                    <a:alpha val="40000"/>
                  </a:schemeClr>
                </a:outerShdw>
              </a:effectLst>
            </a:rPr>
            <a:t>Sales Achievement</a:t>
          </a:r>
          <a:endParaRPr lang="en-US" sz="1400" b="1"/>
        </a:p>
      </cdr:txBody>
    </cdr:sp>
  </cdr:relSizeAnchor>
</c:userShapes>
</file>

<file path=xl/drawings/drawing3.xml><?xml version="1.0" encoding="utf-8"?>
<c:userShapes xmlns:c="http://schemas.openxmlformats.org/drawingml/2006/chart">
  <cdr:relSizeAnchor xmlns:cdr="http://schemas.openxmlformats.org/drawingml/2006/chartDrawing">
    <cdr:from>
      <cdr:x>0.41156</cdr:x>
      <cdr:y>0.34401</cdr:y>
    </cdr:from>
    <cdr:to>
      <cdr:x>0.60466</cdr:x>
      <cdr:y>0.47826</cdr:y>
    </cdr:to>
    <cdr:sp macro="" textlink="'Support sheet'!$M$4">
      <cdr:nvSpPr>
        <cdr:cNvPr id="2" name="TextBox 1">
          <a:extLst xmlns:a="http://schemas.openxmlformats.org/drawingml/2006/main">
            <a:ext uri="{FF2B5EF4-FFF2-40B4-BE49-F238E27FC236}">
              <a16:creationId xmlns:a16="http://schemas.microsoft.com/office/drawing/2014/main" id="{762356CE-EE30-4609-A8A1-99F05048C569}"/>
            </a:ext>
          </a:extLst>
        </cdr:cNvPr>
        <cdr:cNvSpPr txBox="1"/>
      </cdr:nvSpPr>
      <cdr:spPr>
        <a:xfrm xmlns:a="http://schemas.openxmlformats.org/drawingml/2006/main">
          <a:off x="1939699" y="1085132"/>
          <a:ext cx="910083" cy="4234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3331968-9FBC-4D37-8738-E5AC65D479F9}" type="TxLink">
            <a:rPr lang="en-US" sz="1600" b="1"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Calibri"/>
              <a:cs typeface="Calibri"/>
            </a:rPr>
            <a:pPr/>
            <a:t>83.3%</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cdr:txBody>
    </cdr:sp>
  </cdr:relSizeAnchor>
  <cdr:relSizeAnchor xmlns:cdr="http://schemas.openxmlformats.org/drawingml/2006/chartDrawing">
    <cdr:from>
      <cdr:x>0.36323</cdr:x>
      <cdr:y>0.44251</cdr:y>
    </cdr:from>
    <cdr:to>
      <cdr:x>0.62037</cdr:x>
      <cdr:y>0.60918</cdr:y>
    </cdr:to>
    <cdr:sp macro="" textlink="">
      <cdr:nvSpPr>
        <cdr:cNvPr id="3" name="TextBox 2">
          <a:extLst xmlns:a="http://schemas.openxmlformats.org/drawingml/2006/main">
            <a:ext uri="{FF2B5EF4-FFF2-40B4-BE49-F238E27FC236}">
              <a16:creationId xmlns:a16="http://schemas.microsoft.com/office/drawing/2014/main" id="{728F21FA-2EF8-4CF9-9CC6-1C84C2122516}"/>
            </a:ext>
          </a:extLst>
        </cdr:cNvPr>
        <cdr:cNvSpPr txBox="1"/>
      </cdr:nvSpPr>
      <cdr:spPr>
        <a:xfrm xmlns:a="http://schemas.openxmlformats.org/drawingml/2006/main">
          <a:off x="1711896" y="1395857"/>
          <a:ext cx="1211919" cy="5257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400" b="1" cap="none" spc="0">
              <a:ln w="0"/>
              <a:solidFill>
                <a:schemeClr val="tx1"/>
              </a:solidFill>
              <a:effectLst>
                <a:outerShdw blurRad="38100" dist="19050" dir="2700000" algn="tl" rotWithShape="0">
                  <a:schemeClr val="dk1">
                    <a:alpha val="40000"/>
                  </a:schemeClr>
                </a:outerShdw>
              </a:effectLst>
            </a:rPr>
            <a:t>Orders Achievement</a:t>
          </a:r>
        </a:p>
      </cdr:txBody>
    </cdr:sp>
  </cdr:relSizeAnchor>
</c:userShapes>
</file>

<file path=xl/drawings/drawing4.xml><?xml version="1.0" encoding="utf-8"?>
<xdr:wsDr xmlns:xdr="http://schemas.openxmlformats.org/drawingml/2006/spreadsheetDrawing" xmlns:a="http://schemas.openxmlformats.org/drawingml/2006/main">
  <xdr:twoCellAnchor>
    <xdr:from>
      <xdr:col>4</xdr:col>
      <xdr:colOff>904875</xdr:colOff>
      <xdr:row>6</xdr:row>
      <xdr:rowOff>61912</xdr:rowOff>
    </xdr:from>
    <xdr:to>
      <xdr:col>8</xdr:col>
      <xdr:colOff>561975</xdr:colOff>
      <xdr:row>16</xdr:row>
      <xdr:rowOff>57150</xdr:rowOff>
    </xdr:to>
    <xdr:graphicFrame macro="">
      <xdr:nvGraphicFramePr>
        <xdr:cNvPr id="7" name="Chart 6">
          <a:extLst>
            <a:ext uri="{FF2B5EF4-FFF2-40B4-BE49-F238E27FC236}">
              <a16:creationId xmlns:a16="http://schemas.microsoft.com/office/drawing/2014/main" id="{F2C02E12-0E20-486D-A08A-8692E1F8E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409574</xdr:colOff>
      <xdr:row>4</xdr:row>
      <xdr:rowOff>166687</xdr:rowOff>
    </xdr:from>
    <xdr:to>
      <xdr:col>14</xdr:col>
      <xdr:colOff>104774</xdr:colOff>
      <xdr:row>19</xdr:row>
      <xdr:rowOff>76200</xdr:rowOff>
    </xdr:to>
    <xdr:graphicFrame macro="">
      <xdr:nvGraphicFramePr>
        <xdr:cNvPr id="16" name="Chart 15">
          <a:extLst>
            <a:ext uri="{FF2B5EF4-FFF2-40B4-BE49-F238E27FC236}">
              <a16:creationId xmlns:a16="http://schemas.microsoft.com/office/drawing/2014/main" id="{BB5AE448-1BB5-44E0-82B7-52F37DD91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295275</xdr:colOff>
      <xdr:row>18</xdr:row>
      <xdr:rowOff>185737</xdr:rowOff>
    </xdr:from>
    <xdr:to>
      <xdr:col>6</xdr:col>
      <xdr:colOff>628650</xdr:colOff>
      <xdr:row>33</xdr:row>
      <xdr:rowOff>71437</xdr:rowOff>
    </xdr:to>
    <xdr:graphicFrame macro="">
      <xdr:nvGraphicFramePr>
        <xdr:cNvPr id="17" name="Chart 16">
          <a:extLst>
            <a:ext uri="{FF2B5EF4-FFF2-40B4-BE49-F238E27FC236}">
              <a16:creationId xmlns:a16="http://schemas.microsoft.com/office/drawing/2014/main" id="{D77A54A1-56A0-4C1C-9391-DC9CC378AB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361950</xdr:colOff>
      <xdr:row>28</xdr:row>
      <xdr:rowOff>157162</xdr:rowOff>
    </xdr:from>
    <xdr:to>
      <xdr:col>10</xdr:col>
      <xdr:colOff>1085850</xdr:colOff>
      <xdr:row>41</xdr:row>
      <xdr:rowOff>76200</xdr:rowOff>
    </xdr:to>
    <xdr:graphicFrame macro="">
      <xdr:nvGraphicFramePr>
        <xdr:cNvPr id="18" name="Chart 17">
          <a:extLst>
            <a:ext uri="{FF2B5EF4-FFF2-40B4-BE49-F238E27FC236}">
              <a16:creationId xmlns:a16="http://schemas.microsoft.com/office/drawing/2014/main" id="{C6F52817-66CB-4340-8E15-44D913FB06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0.42693</cdr:x>
      <cdr:y>0.37845</cdr:y>
    </cdr:from>
    <cdr:to>
      <cdr:x>0.68481</cdr:x>
      <cdr:y>0.59399</cdr:y>
    </cdr:to>
    <cdr:sp macro="" textlink="'Support sheet'!$I$4">
      <cdr:nvSpPr>
        <cdr:cNvPr id="2" name="TextBox 1">
          <a:extLst xmlns:a="http://schemas.openxmlformats.org/drawingml/2006/main">
            <a:ext uri="{FF2B5EF4-FFF2-40B4-BE49-F238E27FC236}">
              <a16:creationId xmlns:a16="http://schemas.microsoft.com/office/drawing/2014/main" id="{41FB1A35-3A8A-4C86-A3DE-EDF2A4E5237C}"/>
            </a:ext>
          </a:extLst>
        </cdr:cNvPr>
        <cdr:cNvSpPr txBox="1"/>
      </cdr:nvSpPr>
      <cdr:spPr>
        <a:xfrm xmlns:a="http://schemas.openxmlformats.org/drawingml/2006/main">
          <a:off x="1419225" y="719138"/>
          <a:ext cx="857250" cy="4095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3D47E1E4-20A9-439B-801A-4514C8119356}" type="TxLink">
            <a:rPr lang="en-US" sz="1600" b="1"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Calibri"/>
              <a:cs typeface="Calibri"/>
            </a:rPr>
            <a:pPr/>
            <a:t>81.3%</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0.44828</cdr:x>
      <cdr:y>0.40448</cdr:y>
    </cdr:from>
    <cdr:to>
      <cdr:x>0.64138</cdr:x>
      <cdr:y>0.53873</cdr:y>
    </cdr:to>
    <cdr:sp macro="" textlink="'Support sheet'!$M$4">
      <cdr:nvSpPr>
        <cdr:cNvPr id="2" name="TextBox 1">
          <a:extLst xmlns:a="http://schemas.openxmlformats.org/drawingml/2006/main">
            <a:ext uri="{FF2B5EF4-FFF2-40B4-BE49-F238E27FC236}">
              <a16:creationId xmlns:a16="http://schemas.microsoft.com/office/drawing/2014/main" id="{762356CE-EE30-4609-A8A1-99F05048C569}"/>
            </a:ext>
          </a:extLst>
        </cdr:cNvPr>
        <cdr:cNvSpPr txBox="1"/>
      </cdr:nvSpPr>
      <cdr:spPr>
        <a:xfrm xmlns:a="http://schemas.openxmlformats.org/drawingml/2006/main">
          <a:off x="1857376" y="1119188"/>
          <a:ext cx="800100" cy="3714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83331968-9FBC-4D37-8738-E5AC65D479F9}" type="TxLink">
            <a:rPr lang="en-US" sz="1600" b="1" i="0" u="none" strike="noStrike"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Calibri"/>
              <a:cs typeface="Calibri"/>
            </a:rPr>
            <a:pPr/>
            <a:t>83.3%</a:t>
          </a:fld>
          <a:endParaRPr lang="en-US" sz="1600" b="1"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10.854193981482" backgroundQuery="1" createdVersion="6" refreshedVersion="6" minRefreshableVersion="3" recordCount="251" xr:uid="{0D88FE5A-BDA1-4EAC-971D-1803D784D69A}">
  <cacheSource type="external" connectionId="2"/>
  <cacheFields count="16">
    <cacheField name="Name" numFmtId="0">
      <sharedItems count="1">
        <s v="amazon_sales_data 2025"/>
      </sharedItems>
    </cacheField>
    <cacheField name="Order ID" numFmtId="0">
      <sharedItems containsBlank="1"/>
    </cacheField>
    <cacheField name="Date" numFmtId="0">
      <sharedItems containsNonDate="0" containsDate="1" containsString="0" containsBlank="1" minDate="2025-01-03T00:00:00" maxDate="2025-12-04T00:00:00" count="61">
        <d v="2025-03-14T00:00:00"/>
        <d v="2025-03-20T00:00:00"/>
        <d v="2025-02-15T00:00:00"/>
        <d v="2025-02-19T00:00:00"/>
        <d v="2025-10-03T00:00:00"/>
        <d v="2025-03-18T00:00:00"/>
        <d v="2025-02-03T00:00:00"/>
        <d v="2025-08-03T00:00:00"/>
        <d v="2025-12-03T00:00:00"/>
        <d v="2025-02-17T00:00:00"/>
        <d v="2025-03-13T00:00:00"/>
        <d v="2025-01-03T00:00:00"/>
        <d v="2025-04-03T00:00:00"/>
        <d v="2025-02-20T00:00:00"/>
        <d v="2025-02-26T00:00:00"/>
        <d v="2025-01-04T00:00:00"/>
        <d v="2025-10-02T00:00:00"/>
        <d v="2025-03-22T00:00:00"/>
        <d v="2025-07-03T00:00:00"/>
        <d v="2025-05-02T00:00:00"/>
        <d v="2025-02-23T00:00:00"/>
        <d v="2025-03-24T00:00:00"/>
        <d v="2025-02-14T00:00:00"/>
        <d v="2025-07-02T00:00:00"/>
        <d v="2025-03-02T00:00:00"/>
        <d v="2025-12-02T00:00:00"/>
        <d v="2025-04-02T00:00:00"/>
        <d v="2025-02-04T00:00:00"/>
        <d v="2025-09-02T00:00:00"/>
        <d v="2025-02-16T00:00:00"/>
        <d v="2025-03-26T00:00:00"/>
        <d v="2025-03-17T00:00:00"/>
        <d v="2025-08-02T00:00:00"/>
        <d v="2025-03-15T00:00:00"/>
        <d v="2025-06-03T00:00:00"/>
        <d v="2025-11-02T00:00:00"/>
        <d v="2025-02-18T00:00:00"/>
        <d v="2025-02-24T00:00:00"/>
        <d v="2025-03-19T00:00:00"/>
        <d v="2025-11-03T00:00:00"/>
        <d v="2025-03-30T00:00:00"/>
        <d v="2025-02-13T00:00:00"/>
        <d v="2025-03-16T00:00:00"/>
        <d v="2025-03-31T00:00:00"/>
        <d v="2025-02-25T00:00:00"/>
        <d v="2025-03-25T00:00:00"/>
        <d v="2025-09-03T00:00:00"/>
        <d v="2025-02-28T00:00:00"/>
        <d v="2025-06-02T00:00:00"/>
        <d v="2025-02-22T00:00:00"/>
        <d v="2025-03-21T00:00:00"/>
        <d v="2025-02-27T00:00:00"/>
        <d v="2025-03-28T00:00:00"/>
        <d v="2025-03-23T00:00:00"/>
        <d v="2025-03-29T00:00:00"/>
        <d v="2025-03-27T00:00:00"/>
        <d v="2025-03-03T00:00:00"/>
        <d v="2025-02-21T00:00:00"/>
        <d v="2025-02-02T00:00:00"/>
        <d v="2025-05-03T00:00:00"/>
        <m/>
      </sharedItems>
      <fieldGroup par="15" base="2">
        <rangePr groupBy="days" startDate="2025-01-03T00:00:00" endDate="2025-12-04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4/2025"/>
        </groupItems>
      </fieldGroup>
    </cacheField>
    <cacheField name="Product" numFmtId="0">
      <sharedItems containsBlank="1" count="11">
        <s v="Running Shoes"/>
        <s v="Headphones"/>
        <s v="Smartwatch"/>
        <s v="T-Shirt"/>
        <s v="Smartphone"/>
        <s v="Book"/>
        <s v="Jeans"/>
        <s v="Laptop"/>
        <s v="Washing Machine"/>
        <s v="Refrigerator"/>
        <m/>
      </sharedItems>
    </cacheField>
    <cacheField name="Category" numFmtId="0">
      <sharedItems containsBlank="1" count="6">
        <s v="Footwear"/>
        <s v="Electronics"/>
        <s v="Clothing"/>
        <s v="Books"/>
        <s v="Home Appliances"/>
        <m/>
      </sharedItems>
    </cacheField>
    <cacheField name="Price" numFmtId="0">
      <sharedItems containsString="0" containsBlank="1" containsNumber="1" containsInteger="1" minValue="15" maxValue="1200" count="11">
        <n v="60"/>
        <n v="100"/>
        <n v="150"/>
        <n v="20"/>
        <n v="500"/>
        <n v="15"/>
        <n v="40"/>
        <n v="800"/>
        <n v="600"/>
        <n v="1200"/>
        <m/>
      </sharedItems>
    </cacheField>
    <cacheField name="Quantity" numFmtId="0">
      <sharedItems containsString="0" containsBlank="1" containsNumber="1" containsInteger="1" minValue="1" maxValue="5" count="6">
        <n v="3"/>
        <n v="4"/>
        <n v="2"/>
        <n v="1"/>
        <n v="5"/>
        <m/>
      </sharedItems>
    </cacheField>
    <cacheField name="Total Sales" numFmtId="0">
      <sharedItems containsString="0" containsBlank="1" containsNumber="1" containsInteger="1" minValue="15" maxValue="6000" count="37">
        <n v="180"/>
        <n v="400"/>
        <n v="120"/>
        <n v="450"/>
        <n v="20"/>
        <n v="600"/>
        <n v="500"/>
        <n v="60"/>
        <n v="30"/>
        <n v="160"/>
        <n v="1600"/>
        <n v="1800"/>
        <n v="1200"/>
        <n v="1000"/>
        <n v="300"/>
        <n v="4800"/>
        <n v="15"/>
        <n v="3600"/>
        <n v="75"/>
        <n v="100"/>
        <n v="2000"/>
        <n v="2400"/>
        <n v="150"/>
        <n v="80"/>
        <n v="40"/>
        <n v="240"/>
        <n v="4000"/>
        <n v="2500"/>
        <n v="45"/>
        <n v="750"/>
        <n v="200"/>
        <n v="1500"/>
        <n v="3200"/>
        <n v="6000"/>
        <n v="3000"/>
        <n v="800"/>
        <m/>
      </sharedItems>
    </cacheField>
    <cacheField name="Customer Name" numFmtId="0">
      <sharedItems containsBlank="1" count="11">
        <s v="Emma Clark"/>
        <s v="Emily Johnson"/>
        <s v="John Doe"/>
        <s v="Olivia Wilson"/>
        <s v="Sophia Miller"/>
        <s v="David Lee"/>
        <s v="Michael Brown"/>
        <s v="Daniel Harris"/>
        <s v="Chris White"/>
        <s v="Jane Smith"/>
        <m/>
      </sharedItems>
    </cacheField>
    <cacheField name="Customer Location" numFmtId="0">
      <sharedItems containsBlank="1" count="11">
        <s v="New York"/>
        <s v="San Francisco"/>
        <s v="Denver"/>
        <s v="Dallas"/>
        <s v="Houston"/>
        <s v="Miami"/>
        <s v="Boston"/>
        <s v="Seattle"/>
        <s v="Los Angeles"/>
        <s v="Chicago"/>
        <m/>
      </sharedItems>
    </cacheField>
    <cacheField name="Payment Method" numFmtId="0">
      <sharedItems containsBlank="1" count="6">
        <s v="Debit Card"/>
        <s v="Amazon Pay"/>
        <s v="Credit Card"/>
        <s v="PayPal"/>
        <s v="Gift Card"/>
        <m/>
      </sharedItems>
    </cacheField>
    <cacheField name="Status" numFmtId="0">
      <sharedItems containsBlank="1" count="4">
        <s v="Cancelled"/>
        <s v="Pending"/>
        <s v="Completed"/>
        <m/>
      </sharedItems>
    </cacheField>
    <cacheField name="Year" numFmtId="0">
      <sharedItems containsString="0" containsBlank="1" containsNumber="1" containsInteger="1" minValue="2025" maxValue="2025" count="2">
        <n v="2025"/>
        <m/>
      </sharedItems>
    </cacheField>
    <cacheField name="Month Name" numFmtId="0">
      <sharedItems containsBlank="1" count="13">
        <s v="March"/>
        <s v="February"/>
        <s v="October"/>
        <s v="August"/>
        <s v="December"/>
        <s v="January"/>
        <s v="April"/>
        <s v="July"/>
        <s v="May"/>
        <s v="September"/>
        <s v="June"/>
        <s v="November"/>
        <m/>
      </sharedItems>
    </cacheField>
    <cacheField name="Quarter" numFmtId="0">
      <sharedItems containsString="0" containsBlank="1" containsNumber="1" containsInteger="1" minValue="1" maxValue="4" count="5">
        <n v="1"/>
        <n v="4"/>
        <n v="3"/>
        <n v="2"/>
        <m/>
      </sharedItems>
    </cacheField>
    <cacheField name="Months" numFmtId="0" databaseField="0">
      <fieldGroup base="2">
        <rangePr groupBy="months" startDate="2025-01-03T00:00:00" endDate="2025-12-04T00:00:00"/>
        <groupItems count="14">
          <s v="&lt;1/3/2025"/>
          <s v="Jan"/>
          <s v="Feb"/>
          <s v="Mar"/>
          <s v="Apr"/>
          <s v="May"/>
          <s v="Jun"/>
          <s v="Jul"/>
          <s v="Aug"/>
          <s v="Sep"/>
          <s v="Oct"/>
          <s v="Nov"/>
          <s v="Dec"/>
          <s v="&gt;12/4/2025"/>
        </groupItems>
      </fieldGroup>
    </cacheField>
  </cacheFields>
  <extLst>
    <ext xmlns:x14="http://schemas.microsoft.com/office/spreadsheetml/2009/9/main" uri="{725AE2AE-9491-48be-B2B4-4EB974FC3084}">
      <x14:pivotCacheDefinition pivotCacheId="693128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1">
  <r>
    <x v="0"/>
    <s v="ORD0001"/>
    <x v="0"/>
    <x v="0"/>
    <x v="0"/>
    <x v="0"/>
    <x v="0"/>
    <x v="0"/>
    <x v="0"/>
    <x v="0"/>
    <x v="0"/>
    <x v="0"/>
    <x v="0"/>
    <x v="0"/>
    <x v="0"/>
  </r>
  <r>
    <x v="0"/>
    <s v="ORD0002"/>
    <x v="1"/>
    <x v="1"/>
    <x v="1"/>
    <x v="1"/>
    <x v="1"/>
    <x v="1"/>
    <x v="1"/>
    <x v="1"/>
    <x v="0"/>
    <x v="1"/>
    <x v="0"/>
    <x v="0"/>
    <x v="0"/>
  </r>
  <r>
    <x v="0"/>
    <s v="ORD0003"/>
    <x v="2"/>
    <x v="0"/>
    <x v="0"/>
    <x v="0"/>
    <x v="2"/>
    <x v="2"/>
    <x v="2"/>
    <x v="2"/>
    <x v="1"/>
    <x v="0"/>
    <x v="0"/>
    <x v="1"/>
    <x v="0"/>
  </r>
  <r>
    <x v="0"/>
    <s v="ORD0004"/>
    <x v="3"/>
    <x v="0"/>
    <x v="0"/>
    <x v="0"/>
    <x v="0"/>
    <x v="0"/>
    <x v="3"/>
    <x v="3"/>
    <x v="2"/>
    <x v="1"/>
    <x v="0"/>
    <x v="1"/>
    <x v="0"/>
  </r>
  <r>
    <x v="0"/>
    <s v="ORD0005"/>
    <x v="4"/>
    <x v="2"/>
    <x v="1"/>
    <x v="2"/>
    <x v="0"/>
    <x v="3"/>
    <x v="0"/>
    <x v="0"/>
    <x v="0"/>
    <x v="1"/>
    <x v="0"/>
    <x v="2"/>
    <x v="1"/>
  </r>
  <r>
    <x v="0"/>
    <s v="ORD0006"/>
    <x v="0"/>
    <x v="3"/>
    <x v="2"/>
    <x v="3"/>
    <x v="3"/>
    <x v="4"/>
    <x v="2"/>
    <x v="3"/>
    <x v="2"/>
    <x v="1"/>
    <x v="0"/>
    <x v="0"/>
    <x v="0"/>
  </r>
  <r>
    <x v="0"/>
    <s v="ORD0007"/>
    <x v="5"/>
    <x v="2"/>
    <x v="1"/>
    <x v="2"/>
    <x v="1"/>
    <x v="5"/>
    <x v="0"/>
    <x v="4"/>
    <x v="3"/>
    <x v="2"/>
    <x v="0"/>
    <x v="0"/>
    <x v="0"/>
  </r>
  <r>
    <x v="0"/>
    <s v="ORD0008"/>
    <x v="6"/>
    <x v="4"/>
    <x v="1"/>
    <x v="4"/>
    <x v="3"/>
    <x v="6"/>
    <x v="4"/>
    <x v="5"/>
    <x v="3"/>
    <x v="2"/>
    <x v="0"/>
    <x v="1"/>
    <x v="0"/>
  </r>
  <r>
    <x v="0"/>
    <s v="ORD0009"/>
    <x v="7"/>
    <x v="3"/>
    <x v="2"/>
    <x v="3"/>
    <x v="0"/>
    <x v="7"/>
    <x v="4"/>
    <x v="6"/>
    <x v="3"/>
    <x v="2"/>
    <x v="0"/>
    <x v="3"/>
    <x v="2"/>
  </r>
  <r>
    <x v="0"/>
    <s v="ORD0010"/>
    <x v="8"/>
    <x v="4"/>
    <x v="1"/>
    <x v="4"/>
    <x v="3"/>
    <x v="6"/>
    <x v="1"/>
    <x v="1"/>
    <x v="2"/>
    <x v="0"/>
    <x v="0"/>
    <x v="4"/>
    <x v="1"/>
  </r>
  <r>
    <x v="0"/>
    <s v="ORD0011"/>
    <x v="9"/>
    <x v="5"/>
    <x v="3"/>
    <x v="5"/>
    <x v="2"/>
    <x v="8"/>
    <x v="5"/>
    <x v="6"/>
    <x v="1"/>
    <x v="1"/>
    <x v="0"/>
    <x v="1"/>
    <x v="0"/>
  </r>
  <r>
    <x v="0"/>
    <s v="ORD0012"/>
    <x v="10"/>
    <x v="6"/>
    <x v="2"/>
    <x v="6"/>
    <x v="1"/>
    <x v="9"/>
    <x v="6"/>
    <x v="3"/>
    <x v="2"/>
    <x v="2"/>
    <x v="0"/>
    <x v="0"/>
    <x v="0"/>
  </r>
  <r>
    <x v="0"/>
    <s v="ORD0013"/>
    <x v="11"/>
    <x v="7"/>
    <x v="1"/>
    <x v="7"/>
    <x v="2"/>
    <x v="10"/>
    <x v="7"/>
    <x v="1"/>
    <x v="4"/>
    <x v="1"/>
    <x v="0"/>
    <x v="5"/>
    <x v="0"/>
  </r>
  <r>
    <x v="0"/>
    <s v="ORD0014"/>
    <x v="12"/>
    <x v="8"/>
    <x v="4"/>
    <x v="8"/>
    <x v="0"/>
    <x v="11"/>
    <x v="6"/>
    <x v="5"/>
    <x v="2"/>
    <x v="0"/>
    <x v="0"/>
    <x v="6"/>
    <x v="3"/>
  </r>
  <r>
    <x v="0"/>
    <s v="ORD0015"/>
    <x v="13"/>
    <x v="2"/>
    <x v="1"/>
    <x v="2"/>
    <x v="1"/>
    <x v="5"/>
    <x v="2"/>
    <x v="7"/>
    <x v="2"/>
    <x v="2"/>
    <x v="0"/>
    <x v="1"/>
    <x v="0"/>
  </r>
  <r>
    <x v="0"/>
    <s v="ORD0016"/>
    <x v="14"/>
    <x v="9"/>
    <x v="4"/>
    <x v="9"/>
    <x v="3"/>
    <x v="12"/>
    <x v="2"/>
    <x v="6"/>
    <x v="2"/>
    <x v="0"/>
    <x v="0"/>
    <x v="1"/>
    <x v="0"/>
  </r>
  <r>
    <x v="0"/>
    <s v="ORD0017"/>
    <x v="15"/>
    <x v="3"/>
    <x v="2"/>
    <x v="3"/>
    <x v="3"/>
    <x v="4"/>
    <x v="0"/>
    <x v="0"/>
    <x v="1"/>
    <x v="2"/>
    <x v="0"/>
    <x v="5"/>
    <x v="0"/>
  </r>
  <r>
    <x v="0"/>
    <s v="ORD0018"/>
    <x v="16"/>
    <x v="4"/>
    <x v="1"/>
    <x v="4"/>
    <x v="2"/>
    <x v="13"/>
    <x v="6"/>
    <x v="8"/>
    <x v="1"/>
    <x v="2"/>
    <x v="0"/>
    <x v="2"/>
    <x v="1"/>
  </r>
  <r>
    <x v="0"/>
    <s v="ORD0019"/>
    <x v="17"/>
    <x v="0"/>
    <x v="0"/>
    <x v="0"/>
    <x v="0"/>
    <x v="0"/>
    <x v="3"/>
    <x v="4"/>
    <x v="2"/>
    <x v="2"/>
    <x v="0"/>
    <x v="0"/>
    <x v="0"/>
  </r>
  <r>
    <x v="0"/>
    <s v="ORD0020"/>
    <x v="18"/>
    <x v="1"/>
    <x v="1"/>
    <x v="1"/>
    <x v="1"/>
    <x v="1"/>
    <x v="3"/>
    <x v="7"/>
    <x v="0"/>
    <x v="1"/>
    <x v="0"/>
    <x v="7"/>
    <x v="2"/>
  </r>
  <r>
    <x v="0"/>
    <s v="ORD0021"/>
    <x v="19"/>
    <x v="1"/>
    <x v="1"/>
    <x v="1"/>
    <x v="0"/>
    <x v="14"/>
    <x v="8"/>
    <x v="5"/>
    <x v="0"/>
    <x v="0"/>
    <x v="0"/>
    <x v="8"/>
    <x v="3"/>
  </r>
  <r>
    <x v="0"/>
    <s v="ORD0022"/>
    <x v="18"/>
    <x v="9"/>
    <x v="4"/>
    <x v="9"/>
    <x v="1"/>
    <x v="15"/>
    <x v="3"/>
    <x v="4"/>
    <x v="2"/>
    <x v="1"/>
    <x v="0"/>
    <x v="7"/>
    <x v="2"/>
  </r>
  <r>
    <x v="0"/>
    <s v="ORD0023"/>
    <x v="20"/>
    <x v="5"/>
    <x v="3"/>
    <x v="5"/>
    <x v="3"/>
    <x v="16"/>
    <x v="0"/>
    <x v="4"/>
    <x v="2"/>
    <x v="1"/>
    <x v="0"/>
    <x v="1"/>
    <x v="0"/>
  </r>
  <r>
    <x v="0"/>
    <s v="ORD0024"/>
    <x v="21"/>
    <x v="9"/>
    <x v="4"/>
    <x v="9"/>
    <x v="0"/>
    <x v="17"/>
    <x v="8"/>
    <x v="3"/>
    <x v="2"/>
    <x v="0"/>
    <x v="0"/>
    <x v="0"/>
    <x v="0"/>
  </r>
  <r>
    <x v="0"/>
    <s v="ORD0025"/>
    <x v="6"/>
    <x v="5"/>
    <x v="3"/>
    <x v="5"/>
    <x v="4"/>
    <x v="18"/>
    <x v="4"/>
    <x v="7"/>
    <x v="1"/>
    <x v="2"/>
    <x v="0"/>
    <x v="1"/>
    <x v="0"/>
  </r>
  <r>
    <x v="0"/>
    <s v="ORD0026"/>
    <x v="22"/>
    <x v="8"/>
    <x v="4"/>
    <x v="8"/>
    <x v="3"/>
    <x v="5"/>
    <x v="3"/>
    <x v="6"/>
    <x v="0"/>
    <x v="0"/>
    <x v="0"/>
    <x v="1"/>
    <x v="0"/>
  </r>
  <r>
    <x v="0"/>
    <s v="ORD0027"/>
    <x v="23"/>
    <x v="3"/>
    <x v="2"/>
    <x v="3"/>
    <x v="3"/>
    <x v="4"/>
    <x v="7"/>
    <x v="0"/>
    <x v="1"/>
    <x v="1"/>
    <x v="0"/>
    <x v="7"/>
    <x v="2"/>
  </r>
  <r>
    <x v="0"/>
    <s v="ORD0028"/>
    <x v="24"/>
    <x v="1"/>
    <x v="1"/>
    <x v="1"/>
    <x v="3"/>
    <x v="19"/>
    <x v="9"/>
    <x v="9"/>
    <x v="1"/>
    <x v="2"/>
    <x v="0"/>
    <x v="0"/>
    <x v="0"/>
  </r>
  <r>
    <x v="0"/>
    <s v="ORD0029"/>
    <x v="25"/>
    <x v="4"/>
    <x v="1"/>
    <x v="4"/>
    <x v="3"/>
    <x v="6"/>
    <x v="4"/>
    <x v="2"/>
    <x v="2"/>
    <x v="0"/>
    <x v="0"/>
    <x v="4"/>
    <x v="1"/>
  </r>
  <r>
    <x v="0"/>
    <s v="ORD0030"/>
    <x v="16"/>
    <x v="8"/>
    <x v="4"/>
    <x v="8"/>
    <x v="0"/>
    <x v="11"/>
    <x v="1"/>
    <x v="3"/>
    <x v="4"/>
    <x v="0"/>
    <x v="0"/>
    <x v="2"/>
    <x v="1"/>
  </r>
  <r>
    <x v="0"/>
    <s v="ORD0031"/>
    <x v="21"/>
    <x v="4"/>
    <x v="1"/>
    <x v="4"/>
    <x v="3"/>
    <x v="6"/>
    <x v="2"/>
    <x v="4"/>
    <x v="4"/>
    <x v="1"/>
    <x v="0"/>
    <x v="0"/>
    <x v="0"/>
  </r>
  <r>
    <x v="0"/>
    <s v="ORD0032"/>
    <x v="4"/>
    <x v="4"/>
    <x v="1"/>
    <x v="4"/>
    <x v="1"/>
    <x v="20"/>
    <x v="6"/>
    <x v="7"/>
    <x v="3"/>
    <x v="1"/>
    <x v="0"/>
    <x v="2"/>
    <x v="1"/>
  </r>
  <r>
    <x v="0"/>
    <s v="ORD0033"/>
    <x v="26"/>
    <x v="5"/>
    <x v="3"/>
    <x v="5"/>
    <x v="3"/>
    <x v="16"/>
    <x v="3"/>
    <x v="0"/>
    <x v="0"/>
    <x v="0"/>
    <x v="0"/>
    <x v="6"/>
    <x v="3"/>
  </r>
  <r>
    <x v="0"/>
    <s v="ORD0034"/>
    <x v="27"/>
    <x v="3"/>
    <x v="2"/>
    <x v="3"/>
    <x v="4"/>
    <x v="19"/>
    <x v="9"/>
    <x v="0"/>
    <x v="2"/>
    <x v="1"/>
    <x v="0"/>
    <x v="1"/>
    <x v="0"/>
  </r>
  <r>
    <x v="0"/>
    <s v="ORD0035"/>
    <x v="27"/>
    <x v="7"/>
    <x v="1"/>
    <x v="7"/>
    <x v="0"/>
    <x v="21"/>
    <x v="0"/>
    <x v="2"/>
    <x v="1"/>
    <x v="2"/>
    <x v="0"/>
    <x v="1"/>
    <x v="0"/>
  </r>
  <r>
    <x v="0"/>
    <s v="ORD0036"/>
    <x v="28"/>
    <x v="9"/>
    <x v="4"/>
    <x v="9"/>
    <x v="2"/>
    <x v="21"/>
    <x v="4"/>
    <x v="6"/>
    <x v="3"/>
    <x v="0"/>
    <x v="0"/>
    <x v="9"/>
    <x v="2"/>
  </r>
  <r>
    <x v="0"/>
    <s v="ORD0037"/>
    <x v="29"/>
    <x v="1"/>
    <x v="1"/>
    <x v="1"/>
    <x v="0"/>
    <x v="14"/>
    <x v="6"/>
    <x v="0"/>
    <x v="0"/>
    <x v="0"/>
    <x v="0"/>
    <x v="1"/>
    <x v="0"/>
  </r>
  <r>
    <x v="0"/>
    <s v="ORD0038"/>
    <x v="30"/>
    <x v="7"/>
    <x v="1"/>
    <x v="7"/>
    <x v="0"/>
    <x v="21"/>
    <x v="3"/>
    <x v="9"/>
    <x v="1"/>
    <x v="2"/>
    <x v="0"/>
    <x v="0"/>
    <x v="0"/>
  </r>
  <r>
    <x v="0"/>
    <s v="ORD0039"/>
    <x v="6"/>
    <x v="7"/>
    <x v="1"/>
    <x v="7"/>
    <x v="2"/>
    <x v="10"/>
    <x v="3"/>
    <x v="1"/>
    <x v="3"/>
    <x v="2"/>
    <x v="0"/>
    <x v="1"/>
    <x v="0"/>
  </r>
  <r>
    <x v="0"/>
    <s v="ORD0040"/>
    <x v="30"/>
    <x v="2"/>
    <x v="1"/>
    <x v="2"/>
    <x v="3"/>
    <x v="22"/>
    <x v="1"/>
    <x v="7"/>
    <x v="4"/>
    <x v="1"/>
    <x v="0"/>
    <x v="0"/>
    <x v="0"/>
  </r>
  <r>
    <x v="0"/>
    <s v="ORD0041"/>
    <x v="13"/>
    <x v="5"/>
    <x v="3"/>
    <x v="5"/>
    <x v="3"/>
    <x v="16"/>
    <x v="9"/>
    <x v="5"/>
    <x v="2"/>
    <x v="0"/>
    <x v="0"/>
    <x v="1"/>
    <x v="0"/>
  </r>
  <r>
    <x v="0"/>
    <s v="ORD0042"/>
    <x v="31"/>
    <x v="1"/>
    <x v="1"/>
    <x v="1"/>
    <x v="0"/>
    <x v="14"/>
    <x v="9"/>
    <x v="9"/>
    <x v="1"/>
    <x v="0"/>
    <x v="0"/>
    <x v="0"/>
    <x v="0"/>
  </r>
  <r>
    <x v="0"/>
    <s v="ORD0043"/>
    <x v="32"/>
    <x v="3"/>
    <x v="2"/>
    <x v="3"/>
    <x v="1"/>
    <x v="23"/>
    <x v="9"/>
    <x v="2"/>
    <x v="2"/>
    <x v="1"/>
    <x v="0"/>
    <x v="3"/>
    <x v="2"/>
  </r>
  <r>
    <x v="0"/>
    <s v="ORD0044"/>
    <x v="21"/>
    <x v="2"/>
    <x v="1"/>
    <x v="2"/>
    <x v="3"/>
    <x v="22"/>
    <x v="8"/>
    <x v="4"/>
    <x v="0"/>
    <x v="1"/>
    <x v="0"/>
    <x v="0"/>
    <x v="0"/>
  </r>
  <r>
    <x v="0"/>
    <s v="ORD0045"/>
    <x v="33"/>
    <x v="9"/>
    <x v="4"/>
    <x v="9"/>
    <x v="0"/>
    <x v="17"/>
    <x v="7"/>
    <x v="0"/>
    <x v="2"/>
    <x v="1"/>
    <x v="0"/>
    <x v="0"/>
    <x v="0"/>
  </r>
  <r>
    <x v="0"/>
    <s v="ORD0046"/>
    <x v="34"/>
    <x v="0"/>
    <x v="0"/>
    <x v="0"/>
    <x v="2"/>
    <x v="2"/>
    <x v="5"/>
    <x v="4"/>
    <x v="0"/>
    <x v="0"/>
    <x v="0"/>
    <x v="10"/>
    <x v="3"/>
  </r>
  <r>
    <x v="0"/>
    <s v="ORD0047"/>
    <x v="30"/>
    <x v="3"/>
    <x v="2"/>
    <x v="3"/>
    <x v="2"/>
    <x v="24"/>
    <x v="8"/>
    <x v="5"/>
    <x v="4"/>
    <x v="0"/>
    <x v="0"/>
    <x v="0"/>
    <x v="0"/>
  </r>
  <r>
    <x v="0"/>
    <s v="ORD0048"/>
    <x v="35"/>
    <x v="3"/>
    <x v="2"/>
    <x v="3"/>
    <x v="4"/>
    <x v="19"/>
    <x v="9"/>
    <x v="2"/>
    <x v="1"/>
    <x v="2"/>
    <x v="0"/>
    <x v="11"/>
    <x v="1"/>
  </r>
  <r>
    <x v="0"/>
    <s v="ORD0049"/>
    <x v="36"/>
    <x v="4"/>
    <x v="1"/>
    <x v="4"/>
    <x v="1"/>
    <x v="20"/>
    <x v="0"/>
    <x v="9"/>
    <x v="0"/>
    <x v="2"/>
    <x v="0"/>
    <x v="1"/>
    <x v="0"/>
  </r>
  <r>
    <x v="0"/>
    <s v="ORD0050"/>
    <x v="0"/>
    <x v="6"/>
    <x v="2"/>
    <x v="6"/>
    <x v="0"/>
    <x v="2"/>
    <x v="2"/>
    <x v="6"/>
    <x v="4"/>
    <x v="2"/>
    <x v="0"/>
    <x v="0"/>
    <x v="0"/>
  </r>
  <r>
    <x v="0"/>
    <s v="ORD0051"/>
    <x v="3"/>
    <x v="5"/>
    <x v="3"/>
    <x v="5"/>
    <x v="3"/>
    <x v="16"/>
    <x v="0"/>
    <x v="4"/>
    <x v="4"/>
    <x v="0"/>
    <x v="0"/>
    <x v="1"/>
    <x v="0"/>
  </r>
  <r>
    <x v="0"/>
    <s v="ORD0052"/>
    <x v="37"/>
    <x v="7"/>
    <x v="1"/>
    <x v="7"/>
    <x v="0"/>
    <x v="21"/>
    <x v="2"/>
    <x v="1"/>
    <x v="2"/>
    <x v="1"/>
    <x v="0"/>
    <x v="1"/>
    <x v="0"/>
  </r>
  <r>
    <x v="0"/>
    <s v="ORD0053"/>
    <x v="21"/>
    <x v="0"/>
    <x v="0"/>
    <x v="0"/>
    <x v="1"/>
    <x v="25"/>
    <x v="1"/>
    <x v="8"/>
    <x v="3"/>
    <x v="2"/>
    <x v="0"/>
    <x v="0"/>
    <x v="0"/>
  </r>
  <r>
    <x v="0"/>
    <s v="ORD0054"/>
    <x v="33"/>
    <x v="2"/>
    <x v="1"/>
    <x v="2"/>
    <x v="0"/>
    <x v="3"/>
    <x v="5"/>
    <x v="6"/>
    <x v="4"/>
    <x v="1"/>
    <x v="0"/>
    <x v="0"/>
    <x v="0"/>
  </r>
  <r>
    <x v="0"/>
    <s v="ORD0055"/>
    <x v="33"/>
    <x v="6"/>
    <x v="2"/>
    <x v="6"/>
    <x v="2"/>
    <x v="23"/>
    <x v="4"/>
    <x v="3"/>
    <x v="3"/>
    <x v="2"/>
    <x v="0"/>
    <x v="0"/>
    <x v="0"/>
  </r>
  <r>
    <x v="0"/>
    <s v="ORD0056"/>
    <x v="38"/>
    <x v="2"/>
    <x v="1"/>
    <x v="2"/>
    <x v="2"/>
    <x v="14"/>
    <x v="0"/>
    <x v="3"/>
    <x v="2"/>
    <x v="2"/>
    <x v="0"/>
    <x v="0"/>
    <x v="0"/>
  </r>
  <r>
    <x v="0"/>
    <s v="ORD0057"/>
    <x v="33"/>
    <x v="4"/>
    <x v="1"/>
    <x v="4"/>
    <x v="3"/>
    <x v="6"/>
    <x v="9"/>
    <x v="8"/>
    <x v="0"/>
    <x v="0"/>
    <x v="0"/>
    <x v="0"/>
    <x v="0"/>
  </r>
  <r>
    <x v="0"/>
    <s v="ORD0058"/>
    <x v="10"/>
    <x v="4"/>
    <x v="1"/>
    <x v="4"/>
    <x v="3"/>
    <x v="6"/>
    <x v="9"/>
    <x v="9"/>
    <x v="3"/>
    <x v="0"/>
    <x v="0"/>
    <x v="0"/>
    <x v="0"/>
  </r>
  <r>
    <x v="0"/>
    <s v="ORD0059"/>
    <x v="15"/>
    <x v="2"/>
    <x v="1"/>
    <x v="2"/>
    <x v="2"/>
    <x v="14"/>
    <x v="7"/>
    <x v="3"/>
    <x v="2"/>
    <x v="0"/>
    <x v="0"/>
    <x v="5"/>
    <x v="0"/>
  </r>
  <r>
    <x v="0"/>
    <s v="ORD0060"/>
    <x v="8"/>
    <x v="5"/>
    <x v="3"/>
    <x v="5"/>
    <x v="4"/>
    <x v="18"/>
    <x v="9"/>
    <x v="3"/>
    <x v="2"/>
    <x v="1"/>
    <x v="0"/>
    <x v="4"/>
    <x v="1"/>
  </r>
  <r>
    <x v="0"/>
    <s v="ORD0061"/>
    <x v="39"/>
    <x v="9"/>
    <x v="4"/>
    <x v="9"/>
    <x v="3"/>
    <x v="12"/>
    <x v="9"/>
    <x v="0"/>
    <x v="3"/>
    <x v="0"/>
    <x v="0"/>
    <x v="11"/>
    <x v="1"/>
  </r>
  <r>
    <x v="0"/>
    <s v="ORD0062"/>
    <x v="16"/>
    <x v="7"/>
    <x v="1"/>
    <x v="7"/>
    <x v="4"/>
    <x v="26"/>
    <x v="3"/>
    <x v="1"/>
    <x v="3"/>
    <x v="2"/>
    <x v="0"/>
    <x v="2"/>
    <x v="1"/>
  </r>
  <r>
    <x v="0"/>
    <s v="ORD0063"/>
    <x v="40"/>
    <x v="4"/>
    <x v="1"/>
    <x v="4"/>
    <x v="4"/>
    <x v="27"/>
    <x v="0"/>
    <x v="5"/>
    <x v="4"/>
    <x v="2"/>
    <x v="0"/>
    <x v="0"/>
    <x v="0"/>
  </r>
  <r>
    <x v="0"/>
    <s v="ORD0064"/>
    <x v="41"/>
    <x v="9"/>
    <x v="4"/>
    <x v="9"/>
    <x v="1"/>
    <x v="15"/>
    <x v="1"/>
    <x v="2"/>
    <x v="3"/>
    <x v="1"/>
    <x v="0"/>
    <x v="1"/>
    <x v="0"/>
  </r>
  <r>
    <x v="0"/>
    <s v="ORD0065"/>
    <x v="42"/>
    <x v="5"/>
    <x v="3"/>
    <x v="5"/>
    <x v="0"/>
    <x v="28"/>
    <x v="0"/>
    <x v="1"/>
    <x v="1"/>
    <x v="1"/>
    <x v="0"/>
    <x v="0"/>
    <x v="0"/>
  </r>
  <r>
    <x v="0"/>
    <s v="ORD0066"/>
    <x v="0"/>
    <x v="2"/>
    <x v="1"/>
    <x v="2"/>
    <x v="2"/>
    <x v="14"/>
    <x v="6"/>
    <x v="2"/>
    <x v="3"/>
    <x v="1"/>
    <x v="0"/>
    <x v="0"/>
    <x v="0"/>
  </r>
  <r>
    <x v="0"/>
    <s v="ORD0067"/>
    <x v="43"/>
    <x v="1"/>
    <x v="1"/>
    <x v="1"/>
    <x v="0"/>
    <x v="14"/>
    <x v="8"/>
    <x v="0"/>
    <x v="0"/>
    <x v="1"/>
    <x v="0"/>
    <x v="0"/>
    <x v="0"/>
  </r>
  <r>
    <x v="0"/>
    <s v="ORD0068"/>
    <x v="20"/>
    <x v="1"/>
    <x v="1"/>
    <x v="1"/>
    <x v="3"/>
    <x v="19"/>
    <x v="5"/>
    <x v="4"/>
    <x v="0"/>
    <x v="0"/>
    <x v="0"/>
    <x v="1"/>
    <x v="0"/>
  </r>
  <r>
    <x v="0"/>
    <s v="ORD0069"/>
    <x v="44"/>
    <x v="9"/>
    <x v="4"/>
    <x v="9"/>
    <x v="1"/>
    <x v="15"/>
    <x v="5"/>
    <x v="6"/>
    <x v="4"/>
    <x v="1"/>
    <x v="0"/>
    <x v="1"/>
    <x v="0"/>
  </r>
  <r>
    <x v="0"/>
    <s v="ORD0070"/>
    <x v="4"/>
    <x v="5"/>
    <x v="3"/>
    <x v="5"/>
    <x v="3"/>
    <x v="16"/>
    <x v="1"/>
    <x v="6"/>
    <x v="2"/>
    <x v="2"/>
    <x v="0"/>
    <x v="2"/>
    <x v="1"/>
  </r>
  <r>
    <x v="0"/>
    <s v="ORD0071"/>
    <x v="42"/>
    <x v="2"/>
    <x v="1"/>
    <x v="2"/>
    <x v="4"/>
    <x v="29"/>
    <x v="2"/>
    <x v="2"/>
    <x v="2"/>
    <x v="1"/>
    <x v="0"/>
    <x v="0"/>
    <x v="0"/>
  </r>
  <r>
    <x v="0"/>
    <s v="ORD0072"/>
    <x v="18"/>
    <x v="7"/>
    <x v="1"/>
    <x v="7"/>
    <x v="0"/>
    <x v="21"/>
    <x v="7"/>
    <x v="4"/>
    <x v="2"/>
    <x v="1"/>
    <x v="0"/>
    <x v="7"/>
    <x v="2"/>
  </r>
  <r>
    <x v="0"/>
    <s v="ORD0073"/>
    <x v="13"/>
    <x v="4"/>
    <x v="1"/>
    <x v="4"/>
    <x v="4"/>
    <x v="27"/>
    <x v="1"/>
    <x v="5"/>
    <x v="2"/>
    <x v="0"/>
    <x v="0"/>
    <x v="1"/>
    <x v="0"/>
  </r>
  <r>
    <x v="0"/>
    <s v="ORD0074"/>
    <x v="45"/>
    <x v="9"/>
    <x v="4"/>
    <x v="9"/>
    <x v="1"/>
    <x v="15"/>
    <x v="9"/>
    <x v="3"/>
    <x v="4"/>
    <x v="0"/>
    <x v="0"/>
    <x v="0"/>
    <x v="0"/>
  </r>
  <r>
    <x v="0"/>
    <s v="ORD0075"/>
    <x v="14"/>
    <x v="1"/>
    <x v="1"/>
    <x v="1"/>
    <x v="2"/>
    <x v="30"/>
    <x v="7"/>
    <x v="6"/>
    <x v="3"/>
    <x v="1"/>
    <x v="0"/>
    <x v="1"/>
    <x v="0"/>
  </r>
  <r>
    <x v="0"/>
    <s v="ORD0076"/>
    <x v="37"/>
    <x v="8"/>
    <x v="4"/>
    <x v="8"/>
    <x v="3"/>
    <x v="5"/>
    <x v="9"/>
    <x v="3"/>
    <x v="1"/>
    <x v="2"/>
    <x v="0"/>
    <x v="1"/>
    <x v="0"/>
  </r>
  <r>
    <x v="0"/>
    <s v="ORD0077"/>
    <x v="1"/>
    <x v="1"/>
    <x v="1"/>
    <x v="1"/>
    <x v="2"/>
    <x v="30"/>
    <x v="7"/>
    <x v="4"/>
    <x v="2"/>
    <x v="2"/>
    <x v="0"/>
    <x v="0"/>
    <x v="0"/>
  </r>
  <r>
    <x v="0"/>
    <s v="ORD0078"/>
    <x v="5"/>
    <x v="2"/>
    <x v="1"/>
    <x v="2"/>
    <x v="2"/>
    <x v="14"/>
    <x v="0"/>
    <x v="8"/>
    <x v="4"/>
    <x v="0"/>
    <x v="0"/>
    <x v="0"/>
    <x v="0"/>
  </r>
  <r>
    <x v="0"/>
    <s v="ORD0079"/>
    <x v="46"/>
    <x v="0"/>
    <x v="0"/>
    <x v="0"/>
    <x v="2"/>
    <x v="2"/>
    <x v="1"/>
    <x v="2"/>
    <x v="4"/>
    <x v="0"/>
    <x v="0"/>
    <x v="9"/>
    <x v="2"/>
  </r>
  <r>
    <x v="0"/>
    <s v="ORD0080"/>
    <x v="20"/>
    <x v="0"/>
    <x v="0"/>
    <x v="0"/>
    <x v="1"/>
    <x v="25"/>
    <x v="4"/>
    <x v="1"/>
    <x v="0"/>
    <x v="1"/>
    <x v="0"/>
    <x v="1"/>
    <x v="0"/>
  </r>
  <r>
    <x v="0"/>
    <s v="ORD0081"/>
    <x v="14"/>
    <x v="1"/>
    <x v="1"/>
    <x v="1"/>
    <x v="0"/>
    <x v="14"/>
    <x v="6"/>
    <x v="9"/>
    <x v="3"/>
    <x v="0"/>
    <x v="0"/>
    <x v="1"/>
    <x v="0"/>
  </r>
  <r>
    <x v="0"/>
    <s v="ORD0082"/>
    <x v="37"/>
    <x v="4"/>
    <x v="1"/>
    <x v="4"/>
    <x v="0"/>
    <x v="31"/>
    <x v="9"/>
    <x v="7"/>
    <x v="0"/>
    <x v="0"/>
    <x v="0"/>
    <x v="1"/>
    <x v="0"/>
  </r>
  <r>
    <x v="0"/>
    <s v="ORD0083"/>
    <x v="47"/>
    <x v="8"/>
    <x v="4"/>
    <x v="8"/>
    <x v="1"/>
    <x v="21"/>
    <x v="0"/>
    <x v="4"/>
    <x v="4"/>
    <x v="0"/>
    <x v="0"/>
    <x v="1"/>
    <x v="0"/>
  </r>
  <r>
    <x v="0"/>
    <s v="ORD0084"/>
    <x v="22"/>
    <x v="3"/>
    <x v="2"/>
    <x v="3"/>
    <x v="4"/>
    <x v="19"/>
    <x v="3"/>
    <x v="6"/>
    <x v="3"/>
    <x v="2"/>
    <x v="0"/>
    <x v="1"/>
    <x v="0"/>
  </r>
  <r>
    <x v="0"/>
    <s v="ORD0085"/>
    <x v="48"/>
    <x v="4"/>
    <x v="1"/>
    <x v="4"/>
    <x v="4"/>
    <x v="27"/>
    <x v="6"/>
    <x v="4"/>
    <x v="3"/>
    <x v="2"/>
    <x v="0"/>
    <x v="10"/>
    <x v="3"/>
  </r>
  <r>
    <x v="0"/>
    <s v="ORD0086"/>
    <x v="44"/>
    <x v="2"/>
    <x v="1"/>
    <x v="2"/>
    <x v="4"/>
    <x v="29"/>
    <x v="9"/>
    <x v="3"/>
    <x v="3"/>
    <x v="0"/>
    <x v="0"/>
    <x v="1"/>
    <x v="0"/>
  </r>
  <r>
    <x v="0"/>
    <s v="ORD0087"/>
    <x v="10"/>
    <x v="0"/>
    <x v="0"/>
    <x v="0"/>
    <x v="4"/>
    <x v="14"/>
    <x v="0"/>
    <x v="5"/>
    <x v="0"/>
    <x v="2"/>
    <x v="0"/>
    <x v="0"/>
    <x v="0"/>
  </r>
  <r>
    <x v="0"/>
    <s v="ORD0088"/>
    <x v="48"/>
    <x v="9"/>
    <x v="4"/>
    <x v="9"/>
    <x v="2"/>
    <x v="21"/>
    <x v="8"/>
    <x v="7"/>
    <x v="0"/>
    <x v="1"/>
    <x v="0"/>
    <x v="10"/>
    <x v="3"/>
  </r>
  <r>
    <x v="0"/>
    <s v="ORD0089"/>
    <x v="30"/>
    <x v="0"/>
    <x v="0"/>
    <x v="0"/>
    <x v="4"/>
    <x v="14"/>
    <x v="0"/>
    <x v="8"/>
    <x v="2"/>
    <x v="0"/>
    <x v="0"/>
    <x v="0"/>
    <x v="0"/>
  </r>
  <r>
    <x v="0"/>
    <s v="ORD0090"/>
    <x v="21"/>
    <x v="2"/>
    <x v="1"/>
    <x v="2"/>
    <x v="4"/>
    <x v="29"/>
    <x v="1"/>
    <x v="4"/>
    <x v="1"/>
    <x v="2"/>
    <x v="0"/>
    <x v="0"/>
    <x v="0"/>
  </r>
  <r>
    <x v="0"/>
    <s v="ORD0091"/>
    <x v="24"/>
    <x v="7"/>
    <x v="1"/>
    <x v="7"/>
    <x v="1"/>
    <x v="32"/>
    <x v="7"/>
    <x v="4"/>
    <x v="4"/>
    <x v="1"/>
    <x v="0"/>
    <x v="0"/>
    <x v="0"/>
  </r>
  <r>
    <x v="0"/>
    <s v="ORD0092"/>
    <x v="33"/>
    <x v="4"/>
    <x v="1"/>
    <x v="4"/>
    <x v="2"/>
    <x v="13"/>
    <x v="3"/>
    <x v="6"/>
    <x v="3"/>
    <x v="0"/>
    <x v="0"/>
    <x v="0"/>
    <x v="0"/>
  </r>
  <r>
    <x v="0"/>
    <s v="ORD0093"/>
    <x v="34"/>
    <x v="9"/>
    <x v="4"/>
    <x v="9"/>
    <x v="4"/>
    <x v="33"/>
    <x v="5"/>
    <x v="2"/>
    <x v="3"/>
    <x v="0"/>
    <x v="0"/>
    <x v="10"/>
    <x v="3"/>
  </r>
  <r>
    <x v="0"/>
    <s v="ORD0094"/>
    <x v="45"/>
    <x v="6"/>
    <x v="2"/>
    <x v="6"/>
    <x v="4"/>
    <x v="30"/>
    <x v="7"/>
    <x v="7"/>
    <x v="2"/>
    <x v="0"/>
    <x v="0"/>
    <x v="0"/>
    <x v="0"/>
  </r>
  <r>
    <x v="0"/>
    <s v="ORD0095"/>
    <x v="9"/>
    <x v="2"/>
    <x v="1"/>
    <x v="2"/>
    <x v="1"/>
    <x v="5"/>
    <x v="8"/>
    <x v="0"/>
    <x v="0"/>
    <x v="0"/>
    <x v="0"/>
    <x v="1"/>
    <x v="0"/>
  </r>
  <r>
    <x v="0"/>
    <s v="ORD0096"/>
    <x v="40"/>
    <x v="2"/>
    <x v="1"/>
    <x v="2"/>
    <x v="0"/>
    <x v="3"/>
    <x v="9"/>
    <x v="0"/>
    <x v="1"/>
    <x v="2"/>
    <x v="0"/>
    <x v="0"/>
    <x v="0"/>
  </r>
  <r>
    <x v="0"/>
    <s v="ORD0097"/>
    <x v="45"/>
    <x v="5"/>
    <x v="3"/>
    <x v="5"/>
    <x v="4"/>
    <x v="18"/>
    <x v="3"/>
    <x v="9"/>
    <x v="1"/>
    <x v="1"/>
    <x v="0"/>
    <x v="0"/>
    <x v="0"/>
  </r>
  <r>
    <x v="0"/>
    <s v="ORD0098"/>
    <x v="22"/>
    <x v="2"/>
    <x v="1"/>
    <x v="2"/>
    <x v="2"/>
    <x v="14"/>
    <x v="8"/>
    <x v="5"/>
    <x v="3"/>
    <x v="1"/>
    <x v="0"/>
    <x v="1"/>
    <x v="0"/>
  </r>
  <r>
    <x v="0"/>
    <s v="ORD0099"/>
    <x v="36"/>
    <x v="8"/>
    <x v="4"/>
    <x v="8"/>
    <x v="4"/>
    <x v="34"/>
    <x v="6"/>
    <x v="7"/>
    <x v="0"/>
    <x v="2"/>
    <x v="0"/>
    <x v="1"/>
    <x v="0"/>
  </r>
  <r>
    <x v="0"/>
    <s v="ORD0100"/>
    <x v="41"/>
    <x v="0"/>
    <x v="0"/>
    <x v="0"/>
    <x v="3"/>
    <x v="7"/>
    <x v="9"/>
    <x v="4"/>
    <x v="4"/>
    <x v="0"/>
    <x v="0"/>
    <x v="1"/>
    <x v="0"/>
  </r>
  <r>
    <x v="0"/>
    <s v="ORD0101"/>
    <x v="13"/>
    <x v="5"/>
    <x v="3"/>
    <x v="5"/>
    <x v="4"/>
    <x v="18"/>
    <x v="2"/>
    <x v="2"/>
    <x v="3"/>
    <x v="1"/>
    <x v="0"/>
    <x v="1"/>
    <x v="0"/>
  </r>
  <r>
    <x v="0"/>
    <s v="ORD0102"/>
    <x v="47"/>
    <x v="4"/>
    <x v="1"/>
    <x v="4"/>
    <x v="2"/>
    <x v="13"/>
    <x v="5"/>
    <x v="6"/>
    <x v="3"/>
    <x v="1"/>
    <x v="0"/>
    <x v="1"/>
    <x v="0"/>
  </r>
  <r>
    <x v="0"/>
    <s v="ORD0103"/>
    <x v="0"/>
    <x v="3"/>
    <x v="2"/>
    <x v="3"/>
    <x v="2"/>
    <x v="24"/>
    <x v="6"/>
    <x v="9"/>
    <x v="3"/>
    <x v="1"/>
    <x v="0"/>
    <x v="0"/>
    <x v="0"/>
  </r>
  <r>
    <x v="0"/>
    <s v="ORD0104"/>
    <x v="49"/>
    <x v="6"/>
    <x v="2"/>
    <x v="6"/>
    <x v="4"/>
    <x v="30"/>
    <x v="9"/>
    <x v="3"/>
    <x v="0"/>
    <x v="1"/>
    <x v="0"/>
    <x v="1"/>
    <x v="0"/>
  </r>
  <r>
    <x v="0"/>
    <s v="ORD0105"/>
    <x v="42"/>
    <x v="6"/>
    <x v="2"/>
    <x v="6"/>
    <x v="3"/>
    <x v="24"/>
    <x v="9"/>
    <x v="6"/>
    <x v="0"/>
    <x v="1"/>
    <x v="0"/>
    <x v="0"/>
    <x v="0"/>
  </r>
  <r>
    <x v="0"/>
    <s v="ORD0106"/>
    <x v="33"/>
    <x v="3"/>
    <x v="2"/>
    <x v="3"/>
    <x v="0"/>
    <x v="7"/>
    <x v="3"/>
    <x v="9"/>
    <x v="3"/>
    <x v="1"/>
    <x v="0"/>
    <x v="0"/>
    <x v="0"/>
  </r>
  <r>
    <x v="0"/>
    <s v="ORD0107"/>
    <x v="38"/>
    <x v="6"/>
    <x v="2"/>
    <x v="6"/>
    <x v="0"/>
    <x v="2"/>
    <x v="3"/>
    <x v="3"/>
    <x v="2"/>
    <x v="0"/>
    <x v="0"/>
    <x v="0"/>
    <x v="0"/>
  </r>
  <r>
    <x v="0"/>
    <s v="ORD0108"/>
    <x v="42"/>
    <x v="1"/>
    <x v="1"/>
    <x v="1"/>
    <x v="2"/>
    <x v="30"/>
    <x v="7"/>
    <x v="5"/>
    <x v="3"/>
    <x v="1"/>
    <x v="0"/>
    <x v="0"/>
    <x v="0"/>
  </r>
  <r>
    <x v="0"/>
    <s v="ORD0109"/>
    <x v="31"/>
    <x v="6"/>
    <x v="2"/>
    <x v="6"/>
    <x v="4"/>
    <x v="30"/>
    <x v="6"/>
    <x v="0"/>
    <x v="3"/>
    <x v="2"/>
    <x v="0"/>
    <x v="0"/>
    <x v="0"/>
  </r>
  <r>
    <x v="0"/>
    <s v="ORD0110"/>
    <x v="36"/>
    <x v="4"/>
    <x v="1"/>
    <x v="4"/>
    <x v="4"/>
    <x v="27"/>
    <x v="3"/>
    <x v="3"/>
    <x v="1"/>
    <x v="1"/>
    <x v="0"/>
    <x v="1"/>
    <x v="0"/>
  </r>
  <r>
    <x v="0"/>
    <s v="ORD0111"/>
    <x v="43"/>
    <x v="7"/>
    <x v="1"/>
    <x v="7"/>
    <x v="1"/>
    <x v="32"/>
    <x v="0"/>
    <x v="8"/>
    <x v="2"/>
    <x v="2"/>
    <x v="0"/>
    <x v="0"/>
    <x v="0"/>
  </r>
  <r>
    <x v="0"/>
    <s v="ORD0112"/>
    <x v="34"/>
    <x v="8"/>
    <x v="4"/>
    <x v="8"/>
    <x v="2"/>
    <x v="12"/>
    <x v="5"/>
    <x v="3"/>
    <x v="4"/>
    <x v="0"/>
    <x v="0"/>
    <x v="10"/>
    <x v="3"/>
  </r>
  <r>
    <x v="0"/>
    <s v="ORD0113"/>
    <x v="38"/>
    <x v="5"/>
    <x v="3"/>
    <x v="5"/>
    <x v="4"/>
    <x v="18"/>
    <x v="5"/>
    <x v="1"/>
    <x v="0"/>
    <x v="1"/>
    <x v="0"/>
    <x v="0"/>
    <x v="0"/>
  </r>
  <r>
    <x v="0"/>
    <s v="ORD0114"/>
    <x v="20"/>
    <x v="0"/>
    <x v="0"/>
    <x v="0"/>
    <x v="3"/>
    <x v="7"/>
    <x v="0"/>
    <x v="4"/>
    <x v="2"/>
    <x v="1"/>
    <x v="0"/>
    <x v="1"/>
    <x v="0"/>
  </r>
  <r>
    <x v="0"/>
    <s v="ORD0115"/>
    <x v="50"/>
    <x v="0"/>
    <x v="0"/>
    <x v="0"/>
    <x v="0"/>
    <x v="0"/>
    <x v="3"/>
    <x v="5"/>
    <x v="1"/>
    <x v="2"/>
    <x v="0"/>
    <x v="0"/>
    <x v="0"/>
  </r>
  <r>
    <x v="0"/>
    <s v="ORD0116"/>
    <x v="38"/>
    <x v="7"/>
    <x v="1"/>
    <x v="7"/>
    <x v="1"/>
    <x v="32"/>
    <x v="0"/>
    <x v="8"/>
    <x v="1"/>
    <x v="2"/>
    <x v="0"/>
    <x v="0"/>
    <x v="0"/>
  </r>
  <r>
    <x v="0"/>
    <s v="ORD0117"/>
    <x v="51"/>
    <x v="3"/>
    <x v="2"/>
    <x v="3"/>
    <x v="3"/>
    <x v="4"/>
    <x v="7"/>
    <x v="0"/>
    <x v="2"/>
    <x v="2"/>
    <x v="0"/>
    <x v="1"/>
    <x v="0"/>
  </r>
  <r>
    <x v="0"/>
    <s v="ORD0118"/>
    <x v="16"/>
    <x v="1"/>
    <x v="1"/>
    <x v="1"/>
    <x v="4"/>
    <x v="6"/>
    <x v="2"/>
    <x v="4"/>
    <x v="1"/>
    <x v="2"/>
    <x v="0"/>
    <x v="2"/>
    <x v="1"/>
  </r>
  <r>
    <x v="0"/>
    <s v="ORD0119"/>
    <x v="42"/>
    <x v="4"/>
    <x v="1"/>
    <x v="4"/>
    <x v="2"/>
    <x v="13"/>
    <x v="8"/>
    <x v="9"/>
    <x v="3"/>
    <x v="1"/>
    <x v="0"/>
    <x v="0"/>
    <x v="0"/>
  </r>
  <r>
    <x v="0"/>
    <s v="ORD0120"/>
    <x v="29"/>
    <x v="7"/>
    <x v="1"/>
    <x v="7"/>
    <x v="4"/>
    <x v="26"/>
    <x v="1"/>
    <x v="2"/>
    <x v="3"/>
    <x v="2"/>
    <x v="0"/>
    <x v="1"/>
    <x v="0"/>
  </r>
  <r>
    <x v="0"/>
    <s v="ORD0121"/>
    <x v="36"/>
    <x v="4"/>
    <x v="1"/>
    <x v="4"/>
    <x v="3"/>
    <x v="6"/>
    <x v="2"/>
    <x v="3"/>
    <x v="4"/>
    <x v="1"/>
    <x v="0"/>
    <x v="1"/>
    <x v="0"/>
  </r>
  <r>
    <x v="0"/>
    <s v="ORD0122"/>
    <x v="52"/>
    <x v="7"/>
    <x v="1"/>
    <x v="7"/>
    <x v="0"/>
    <x v="21"/>
    <x v="2"/>
    <x v="5"/>
    <x v="2"/>
    <x v="0"/>
    <x v="0"/>
    <x v="0"/>
    <x v="0"/>
  </r>
  <r>
    <x v="0"/>
    <s v="ORD0123"/>
    <x v="20"/>
    <x v="5"/>
    <x v="3"/>
    <x v="5"/>
    <x v="0"/>
    <x v="28"/>
    <x v="8"/>
    <x v="6"/>
    <x v="4"/>
    <x v="0"/>
    <x v="0"/>
    <x v="1"/>
    <x v="0"/>
  </r>
  <r>
    <x v="0"/>
    <s v="ORD0124"/>
    <x v="16"/>
    <x v="5"/>
    <x v="3"/>
    <x v="5"/>
    <x v="3"/>
    <x v="16"/>
    <x v="0"/>
    <x v="7"/>
    <x v="4"/>
    <x v="1"/>
    <x v="0"/>
    <x v="2"/>
    <x v="1"/>
  </r>
  <r>
    <x v="0"/>
    <s v="ORD0125"/>
    <x v="20"/>
    <x v="4"/>
    <x v="1"/>
    <x v="4"/>
    <x v="3"/>
    <x v="6"/>
    <x v="1"/>
    <x v="2"/>
    <x v="1"/>
    <x v="2"/>
    <x v="0"/>
    <x v="1"/>
    <x v="0"/>
  </r>
  <r>
    <x v="0"/>
    <s v="ORD0126"/>
    <x v="26"/>
    <x v="9"/>
    <x v="4"/>
    <x v="9"/>
    <x v="4"/>
    <x v="33"/>
    <x v="3"/>
    <x v="9"/>
    <x v="4"/>
    <x v="1"/>
    <x v="0"/>
    <x v="6"/>
    <x v="3"/>
  </r>
  <r>
    <x v="0"/>
    <s v="ORD0127"/>
    <x v="36"/>
    <x v="3"/>
    <x v="2"/>
    <x v="3"/>
    <x v="0"/>
    <x v="7"/>
    <x v="0"/>
    <x v="3"/>
    <x v="0"/>
    <x v="2"/>
    <x v="0"/>
    <x v="1"/>
    <x v="0"/>
  </r>
  <r>
    <x v="0"/>
    <s v="ORD0128"/>
    <x v="53"/>
    <x v="2"/>
    <x v="1"/>
    <x v="2"/>
    <x v="2"/>
    <x v="14"/>
    <x v="1"/>
    <x v="3"/>
    <x v="3"/>
    <x v="0"/>
    <x v="0"/>
    <x v="0"/>
    <x v="0"/>
  </r>
  <r>
    <x v="0"/>
    <s v="ORD0129"/>
    <x v="14"/>
    <x v="6"/>
    <x v="2"/>
    <x v="6"/>
    <x v="4"/>
    <x v="30"/>
    <x v="1"/>
    <x v="0"/>
    <x v="0"/>
    <x v="1"/>
    <x v="0"/>
    <x v="1"/>
    <x v="0"/>
  </r>
  <r>
    <x v="0"/>
    <s v="ORD0130"/>
    <x v="16"/>
    <x v="2"/>
    <x v="1"/>
    <x v="2"/>
    <x v="4"/>
    <x v="29"/>
    <x v="5"/>
    <x v="6"/>
    <x v="3"/>
    <x v="2"/>
    <x v="0"/>
    <x v="2"/>
    <x v="1"/>
  </r>
  <r>
    <x v="0"/>
    <s v="ORD0131"/>
    <x v="14"/>
    <x v="6"/>
    <x v="2"/>
    <x v="6"/>
    <x v="2"/>
    <x v="23"/>
    <x v="7"/>
    <x v="9"/>
    <x v="2"/>
    <x v="1"/>
    <x v="0"/>
    <x v="1"/>
    <x v="0"/>
  </r>
  <r>
    <x v="0"/>
    <s v="ORD0132"/>
    <x v="18"/>
    <x v="4"/>
    <x v="1"/>
    <x v="4"/>
    <x v="2"/>
    <x v="13"/>
    <x v="3"/>
    <x v="9"/>
    <x v="0"/>
    <x v="1"/>
    <x v="0"/>
    <x v="7"/>
    <x v="2"/>
  </r>
  <r>
    <x v="0"/>
    <s v="ORD0133"/>
    <x v="20"/>
    <x v="7"/>
    <x v="1"/>
    <x v="7"/>
    <x v="3"/>
    <x v="35"/>
    <x v="1"/>
    <x v="0"/>
    <x v="1"/>
    <x v="1"/>
    <x v="0"/>
    <x v="1"/>
    <x v="0"/>
  </r>
  <r>
    <x v="0"/>
    <s v="ORD0134"/>
    <x v="23"/>
    <x v="4"/>
    <x v="1"/>
    <x v="4"/>
    <x v="4"/>
    <x v="27"/>
    <x v="5"/>
    <x v="9"/>
    <x v="4"/>
    <x v="1"/>
    <x v="0"/>
    <x v="7"/>
    <x v="2"/>
  </r>
  <r>
    <x v="0"/>
    <s v="ORD0135"/>
    <x v="16"/>
    <x v="3"/>
    <x v="2"/>
    <x v="3"/>
    <x v="3"/>
    <x v="4"/>
    <x v="3"/>
    <x v="5"/>
    <x v="2"/>
    <x v="1"/>
    <x v="0"/>
    <x v="2"/>
    <x v="1"/>
  </r>
  <r>
    <x v="0"/>
    <s v="ORD0136"/>
    <x v="35"/>
    <x v="9"/>
    <x v="4"/>
    <x v="9"/>
    <x v="2"/>
    <x v="21"/>
    <x v="7"/>
    <x v="1"/>
    <x v="3"/>
    <x v="0"/>
    <x v="0"/>
    <x v="11"/>
    <x v="1"/>
  </r>
  <r>
    <x v="0"/>
    <s v="ORD0137"/>
    <x v="1"/>
    <x v="2"/>
    <x v="1"/>
    <x v="2"/>
    <x v="0"/>
    <x v="3"/>
    <x v="4"/>
    <x v="1"/>
    <x v="0"/>
    <x v="2"/>
    <x v="0"/>
    <x v="0"/>
    <x v="0"/>
  </r>
  <r>
    <x v="0"/>
    <s v="ORD0138"/>
    <x v="35"/>
    <x v="2"/>
    <x v="1"/>
    <x v="2"/>
    <x v="4"/>
    <x v="29"/>
    <x v="2"/>
    <x v="8"/>
    <x v="2"/>
    <x v="0"/>
    <x v="0"/>
    <x v="11"/>
    <x v="1"/>
  </r>
  <r>
    <x v="0"/>
    <s v="ORD0139"/>
    <x v="5"/>
    <x v="7"/>
    <x v="1"/>
    <x v="7"/>
    <x v="2"/>
    <x v="10"/>
    <x v="6"/>
    <x v="2"/>
    <x v="3"/>
    <x v="0"/>
    <x v="0"/>
    <x v="0"/>
    <x v="0"/>
  </r>
  <r>
    <x v="0"/>
    <s v="ORD0140"/>
    <x v="38"/>
    <x v="2"/>
    <x v="1"/>
    <x v="2"/>
    <x v="2"/>
    <x v="14"/>
    <x v="3"/>
    <x v="5"/>
    <x v="0"/>
    <x v="2"/>
    <x v="0"/>
    <x v="0"/>
    <x v="0"/>
  </r>
  <r>
    <x v="0"/>
    <s v="ORD0141"/>
    <x v="50"/>
    <x v="4"/>
    <x v="1"/>
    <x v="4"/>
    <x v="2"/>
    <x v="13"/>
    <x v="2"/>
    <x v="5"/>
    <x v="3"/>
    <x v="2"/>
    <x v="0"/>
    <x v="0"/>
    <x v="0"/>
  </r>
  <r>
    <x v="0"/>
    <s v="ORD0142"/>
    <x v="33"/>
    <x v="4"/>
    <x v="1"/>
    <x v="4"/>
    <x v="0"/>
    <x v="31"/>
    <x v="4"/>
    <x v="5"/>
    <x v="4"/>
    <x v="2"/>
    <x v="0"/>
    <x v="0"/>
    <x v="0"/>
  </r>
  <r>
    <x v="0"/>
    <s v="ORD0143"/>
    <x v="43"/>
    <x v="9"/>
    <x v="4"/>
    <x v="9"/>
    <x v="2"/>
    <x v="21"/>
    <x v="9"/>
    <x v="3"/>
    <x v="3"/>
    <x v="0"/>
    <x v="0"/>
    <x v="0"/>
    <x v="0"/>
  </r>
  <r>
    <x v="0"/>
    <s v="ORD0144"/>
    <x v="51"/>
    <x v="6"/>
    <x v="2"/>
    <x v="6"/>
    <x v="2"/>
    <x v="23"/>
    <x v="6"/>
    <x v="8"/>
    <x v="4"/>
    <x v="0"/>
    <x v="0"/>
    <x v="1"/>
    <x v="0"/>
  </r>
  <r>
    <x v="0"/>
    <s v="ORD0145"/>
    <x v="7"/>
    <x v="2"/>
    <x v="1"/>
    <x v="2"/>
    <x v="2"/>
    <x v="14"/>
    <x v="6"/>
    <x v="7"/>
    <x v="0"/>
    <x v="0"/>
    <x v="0"/>
    <x v="3"/>
    <x v="2"/>
  </r>
  <r>
    <x v="0"/>
    <s v="ORD0146"/>
    <x v="45"/>
    <x v="2"/>
    <x v="1"/>
    <x v="2"/>
    <x v="2"/>
    <x v="14"/>
    <x v="0"/>
    <x v="6"/>
    <x v="0"/>
    <x v="2"/>
    <x v="0"/>
    <x v="0"/>
    <x v="0"/>
  </r>
  <r>
    <x v="0"/>
    <s v="ORD0147"/>
    <x v="19"/>
    <x v="0"/>
    <x v="0"/>
    <x v="0"/>
    <x v="4"/>
    <x v="14"/>
    <x v="9"/>
    <x v="3"/>
    <x v="3"/>
    <x v="1"/>
    <x v="0"/>
    <x v="8"/>
    <x v="3"/>
  </r>
  <r>
    <x v="0"/>
    <s v="ORD0148"/>
    <x v="48"/>
    <x v="1"/>
    <x v="1"/>
    <x v="1"/>
    <x v="1"/>
    <x v="1"/>
    <x v="1"/>
    <x v="8"/>
    <x v="1"/>
    <x v="0"/>
    <x v="0"/>
    <x v="10"/>
    <x v="3"/>
  </r>
  <r>
    <x v="0"/>
    <s v="ORD0149"/>
    <x v="1"/>
    <x v="0"/>
    <x v="0"/>
    <x v="0"/>
    <x v="0"/>
    <x v="0"/>
    <x v="6"/>
    <x v="0"/>
    <x v="4"/>
    <x v="1"/>
    <x v="0"/>
    <x v="0"/>
    <x v="0"/>
  </r>
  <r>
    <x v="0"/>
    <s v="ORD0150"/>
    <x v="32"/>
    <x v="5"/>
    <x v="3"/>
    <x v="5"/>
    <x v="1"/>
    <x v="7"/>
    <x v="7"/>
    <x v="9"/>
    <x v="4"/>
    <x v="0"/>
    <x v="0"/>
    <x v="3"/>
    <x v="2"/>
  </r>
  <r>
    <x v="0"/>
    <s v="ORD0151"/>
    <x v="54"/>
    <x v="8"/>
    <x v="4"/>
    <x v="8"/>
    <x v="1"/>
    <x v="21"/>
    <x v="9"/>
    <x v="8"/>
    <x v="1"/>
    <x v="1"/>
    <x v="0"/>
    <x v="0"/>
    <x v="0"/>
  </r>
  <r>
    <x v="0"/>
    <s v="ORD0152"/>
    <x v="47"/>
    <x v="2"/>
    <x v="1"/>
    <x v="2"/>
    <x v="3"/>
    <x v="22"/>
    <x v="2"/>
    <x v="7"/>
    <x v="4"/>
    <x v="2"/>
    <x v="0"/>
    <x v="1"/>
    <x v="0"/>
  </r>
  <r>
    <x v="0"/>
    <s v="ORD0153"/>
    <x v="20"/>
    <x v="2"/>
    <x v="1"/>
    <x v="2"/>
    <x v="4"/>
    <x v="29"/>
    <x v="4"/>
    <x v="1"/>
    <x v="3"/>
    <x v="1"/>
    <x v="0"/>
    <x v="1"/>
    <x v="0"/>
  </r>
  <r>
    <x v="0"/>
    <s v="ORD0154"/>
    <x v="11"/>
    <x v="1"/>
    <x v="1"/>
    <x v="1"/>
    <x v="2"/>
    <x v="30"/>
    <x v="2"/>
    <x v="2"/>
    <x v="0"/>
    <x v="2"/>
    <x v="0"/>
    <x v="5"/>
    <x v="0"/>
  </r>
  <r>
    <x v="0"/>
    <s v="ORD0155"/>
    <x v="19"/>
    <x v="9"/>
    <x v="4"/>
    <x v="9"/>
    <x v="1"/>
    <x v="15"/>
    <x v="4"/>
    <x v="7"/>
    <x v="2"/>
    <x v="1"/>
    <x v="0"/>
    <x v="8"/>
    <x v="3"/>
  </r>
  <r>
    <x v="0"/>
    <s v="ORD0156"/>
    <x v="42"/>
    <x v="2"/>
    <x v="1"/>
    <x v="2"/>
    <x v="1"/>
    <x v="5"/>
    <x v="3"/>
    <x v="5"/>
    <x v="3"/>
    <x v="0"/>
    <x v="0"/>
    <x v="0"/>
    <x v="0"/>
  </r>
  <r>
    <x v="0"/>
    <s v="ORD0157"/>
    <x v="32"/>
    <x v="4"/>
    <x v="1"/>
    <x v="4"/>
    <x v="0"/>
    <x v="31"/>
    <x v="4"/>
    <x v="2"/>
    <x v="2"/>
    <x v="1"/>
    <x v="0"/>
    <x v="3"/>
    <x v="2"/>
  </r>
  <r>
    <x v="0"/>
    <s v="ORD0158"/>
    <x v="37"/>
    <x v="7"/>
    <x v="1"/>
    <x v="7"/>
    <x v="0"/>
    <x v="21"/>
    <x v="8"/>
    <x v="5"/>
    <x v="0"/>
    <x v="1"/>
    <x v="0"/>
    <x v="1"/>
    <x v="0"/>
  </r>
  <r>
    <x v="0"/>
    <s v="ORD0159"/>
    <x v="29"/>
    <x v="3"/>
    <x v="2"/>
    <x v="3"/>
    <x v="2"/>
    <x v="24"/>
    <x v="5"/>
    <x v="3"/>
    <x v="4"/>
    <x v="0"/>
    <x v="0"/>
    <x v="1"/>
    <x v="0"/>
  </r>
  <r>
    <x v="0"/>
    <s v="ORD0160"/>
    <x v="48"/>
    <x v="8"/>
    <x v="4"/>
    <x v="8"/>
    <x v="0"/>
    <x v="11"/>
    <x v="3"/>
    <x v="2"/>
    <x v="4"/>
    <x v="0"/>
    <x v="0"/>
    <x v="10"/>
    <x v="3"/>
  </r>
  <r>
    <x v="0"/>
    <s v="ORD0161"/>
    <x v="49"/>
    <x v="1"/>
    <x v="1"/>
    <x v="1"/>
    <x v="3"/>
    <x v="19"/>
    <x v="1"/>
    <x v="8"/>
    <x v="2"/>
    <x v="2"/>
    <x v="0"/>
    <x v="1"/>
    <x v="0"/>
  </r>
  <r>
    <x v="0"/>
    <s v="ORD0162"/>
    <x v="28"/>
    <x v="4"/>
    <x v="1"/>
    <x v="4"/>
    <x v="2"/>
    <x v="13"/>
    <x v="3"/>
    <x v="9"/>
    <x v="2"/>
    <x v="2"/>
    <x v="0"/>
    <x v="9"/>
    <x v="2"/>
  </r>
  <r>
    <x v="0"/>
    <s v="ORD0163"/>
    <x v="13"/>
    <x v="0"/>
    <x v="0"/>
    <x v="0"/>
    <x v="2"/>
    <x v="2"/>
    <x v="8"/>
    <x v="4"/>
    <x v="3"/>
    <x v="2"/>
    <x v="0"/>
    <x v="1"/>
    <x v="0"/>
  </r>
  <r>
    <x v="0"/>
    <s v="ORD0164"/>
    <x v="44"/>
    <x v="2"/>
    <x v="1"/>
    <x v="2"/>
    <x v="4"/>
    <x v="29"/>
    <x v="6"/>
    <x v="6"/>
    <x v="0"/>
    <x v="1"/>
    <x v="0"/>
    <x v="1"/>
    <x v="0"/>
  </r>
  <r>
    <x v="0"/>
    <s v="ORD0165"/>
    <x v="0"/>
    <x v="5"/>
    <x v="3"/>
    <x v="5"/>
    <x v="3"/>
    <x v="16"/>
    <x v="5"/>
    <x v="0"/>
    <x v="1"/>
    <x v="1"/>
    <x v="0"/>
    <x v="0"/>
    <x v="0"/>
  </r>
  <r>
    <x v="0"/>
    <s v="ORD0166"/>
    <x v="40"/>
    <x v="8"/>
    <x v="4"/>
    <x v="8"/>
    <x v="1"/>
    <x v="21"/>
    <x v="8"/>
    <x v="4"/>
    <x v="2"/>
    <x v="1"/>
    <x v="0"/>
    <x v="0"/>
    <x v="0"/>
  </r>
  <r>
    <x v="0"/>
    <s v="ORD0167"/>
    <x v="1"/>
    <x v="9"/>
    <x v="4"/>
    <x v="9"/>
    <x v="2"/>
    <x v="21"/>
    <x v="3"/>
    <x v="7"/>
    <x v="2"/>
    <x v="2"/>
    <x v="0"/>
    <x v="0"/>
    <x v="0"/>
  </r>
  <r>
    <x v="0"/>
    <s v="ORD0168"/>
    <x v="21"/>
    <x v="7"/>
    <x v="1"/>
    <x v="7"/>
    <x v="4"/>
    <x v="26"/>
    <x v="6"/>
    <x v="5"/>
    <x v="0"/>
    <x v="1"/>
    <x v="0"/>
    <x v="0"/>
    <x v="0"/>
  </r>
  <r>
    <x v="0"/>
    <s v="ORD0169"/>
    <x v="34"/>
    <x v="9"/>
    <x v="4"/>
    <x v="9"/>
    <x v="2"/>
    <x v="21"/>
    <x v="2"/>
    <x v="2"/>
    <x v="3"/>
    <x v="2"/>
    <x v="0"/>
    <x v="10"/>
    <x v="3"/>
  </r>
  <r>
    <x v="0"/>
    <s v="ORD0170"/>
    <x v="47"/>
    <x v="7"/>
    <x v="1"/>
    <x v="7"/>
    <x v="3"/>
    <x v="35"/>
    <x v="0"/>
    <x v="1"/>
    <x v="4"/>
    <x v="1"/>
    <x v="0"/>
    <x v="1"/>
    <x v="0"/>
  </r>
  <r>
    <x v="0"/>
    <s v="ORD0171"/>
    <x v="47"/>
    <x v="2"/>
    <x v="1"/>
    <x v="2"/>
    <x v="2"/>
    <x v="14"/>
    <x v="7"/>
    <x v="4"/>
    <x v="3"/>
    <x v="2"/>
    <x v="0"/>
    <x v="1"/>
    <x v="0"/>
  </r>
  <r>
    <x v="0"/>
    <s v="ORD0172"/>
    <x v="8"/>
    <x v="5"/>
    <x v="3"/>
    <x v="5"/>
    <x v="3"/>
    <x v="16"/>
    <x v="5"/>
    <x v="5"/>
    <x v="0"/>
    <x v="0"/>
    <x v="0"/>
    <x v="4"/>
    <x v="1"/>
  </r>
  <r>
    <x v="0"/>
    <s v="ORD0173"/>
    <x v="47"/>
    <x v="9"/>
    <x v="4"/>
    <x v="9"/>
    <x v="3"/>
    <x v="12"/>
    <x v="3"/>
    <x v="7"/>
    <x v="3"/>
    <x v="2"/>
    <x v="0"/>
    <x v="1"/>
    <x v="0"/>
  </r>
  <r>
    <x v="0"/>
    <s v="ORD0174"/>
    <x v="10"/>
    <x v="2"/>
    <x v="1"/>
    <x v="2"/>
    <x v="2"/>
    <x v="14"/>
    <x v="5"/>
    <x v="9"/>
    <x v="0"/>
    <x v="1"/>
    <x v="0"/>
    <x v="0"/>
    <x v="0"/>
  </r>
  <r>
    <x v="0"/>
    <s v="ORD0175"/>
    <x v="21"/>
    <x v="6"/>
    <x v="2"/>
    <x v="6"/>
    <x v="4"/>
    <x v="30"/>
    <x v="5"/>
    <x v="0"/>
    <x v="0"/>
    <x v="0"/>
    <x v="0"/>
    <x v="0"/>
    <x v="0"/>
  </r>
  <r>
    <x v="0"/>
    <s v="ORD0176"/>
    <x v="55"/>
    <x v="5"/>
    <x v="3"/>
    <x v="5"/>
    <x v="3"/>
    <x v="16"/>
    <x v="6"/>
    <x v="6"/>
    <x v="1"/>
    <x v="2"/>
    <x v="0"/>
    <x v="0"/>
    <x v="0"/>
  </r>
  <r>
    <x v="0"/>
    <s v="ORD0177"/>
    <x v="0"/>
    <x v="5"/>
    <x v="3"/>
    <x v="5"/>
    <x v="4"/>
    <x v="18"/>
    <x v="5"/>
    <x v="1"/>
    <x v="2"/>
    <x v="1"/>
    <x v="0"/>
    <x v="0"/>
    <x v="0"/>
  </r>
  <r>
    <x v="0"/>
    <s v="ORD0178"/>
    <x v="48"/>
    <x v="4"/>
    <x v="1"/>
    <x v="4"/>
    <x v="0"/>
    <x v="31"/>
    <x v="1"/>
    <x v="9"/>
    <x v="3"/>
    <x v="2"/>
    <x v="0"/>
    <x v="10"/>
    <x v="3"/>
  </r>
  <r>
    <x v="0"/>
    <s v="ORD0179"/>
    <x v="45"/>
    <x v="6"/>
    <x v="2"/>
    <x v="6"/>
    <x v="3"/>
    <x v="24"/>
    <x v="3"/>
    <x v="7"/>
    <x v="3"/>
    <x v="0"/>
    <x v="0"/>
    <x v="0"/>
    <x v="0"/>
  </r>
  <r>
    <x v="0"/>
    <s v="ORD0180"/>
    <x v="12"/>
    <x v="9"/>
    <x v="4"/>
    <x v="9"/>
    <x v="0"/>
    <x v="17"/>
    <x v="5"/>
    <x v="6"/>
    <x v="4"/>
    <x v="2"/>
    <x v="0"/>
    <x v="6"/>
    <x v="3"/>
  </r>
  <r>
    <x v="0"/>
    <s v="ORD0181"/>
    <x v="56"/>
    <x v="0"/>
    <x v="0"/>
    <x v="0"/>
    <x v="2"/>
    <x v="2"/>
    <x v="5"/>
    <x v="8"/>
    <x v="0"/>
    <x v="0"/>
    <x v="0"/>
    <x v="0"/>
    <x v="0"/>
  </r>
  <r>
    <x v="0"/>
    <s v="ORD0182"/>
    <x v="27"/>
    <x v="3"/>
    <x v="2"/>
    <x v="3"/>
    <x v="4"/>
    <x v="19"/>
    <x v="0"/>
    <x v="2"/>
    <x v="3"/>
    <x v="2"/>
    <x v="0"/>
    <x v="1"/>
    <x v="0"/>
  </r>
  <r>
    <x v="0"/>
    <s v="ORD0183"/>
    <x v="45"/>
    <x v="8"/>
    <x v="4"/>
    <x v="8"/>
    <x v="3"/>
    <x v="5"/>
    <x v="0"/>
    <x v="7"/>
    <x v="0"/>
    <x v="1"/>
    <x v="0"/>
    <x v="0"/>
    <x v="0"/>
  </r>
  <r>
    <x v="0"/>
    <s v="ORD0184"/>
    <x v="9"/>
    <x v="5"/>
    <x v="3"/>
    <x v="5"/>
    <x v="4"/>
    <x v="18"/>
    <x v="7"/>
    <x v="5"/>
    <x v="0"/>
    <x v="1"/>
    <x v="0"/>
    <x v="1"/>
    <x v="0"/>
  </r>
  <r>
    <x v="0"/>
    <s v="ORD0185"/>
    <x v="17"/>
    <x v="3"/>
    <x v="2"/>
    <x v="3"/>
    <x v="3"/>
    <x v="4"/>
    <x v="8"/>
    <x v="3"/>
    <x v="0"/>
    <x v="2"/>
    <x v="0"/>
    <x v="0"/>
    <x v="0"/>
  </r>
  <r>
    <x v="0"/>
    <s v="ORD0186"/>
    <x v="6"/>
    <x v="8"/>
    <x v="4"/>
    <x v="8"/>
    <x v="1"/>
    <x v="21"/>
    <x v="6"/>
    <x v="0"/>
    <x v="3"/>
    <x v="2"/>
    <x v="0"/>
    <x v="1"/>
    <x v="0"/>
  </r>
  <r>
    <x v="0"/>
    <s v="ORD0187"/>
    <x v="10"/>
    <x v="7"/>
    <x v="1"/>
    <x v="7"/>
    <x v="0"/>
    <x v="21"/>
    <x v="2"/>
    <x v="0"/>
    <x v="3"/>
    <x v="1"/>
    <x v="0"/>
    <x v="0"/>
    <x v="0"/>
  </r>
  <r>
    <x v="0"/>
    <s v="ORD0188"/>
    <x v="22"/>
    <x v="5"/>
    <x v="3"/>
    <x v="5"/>
    <x v="3"/>
    <x v="16"/>
    <x v="2"/>
    <x v="6"/>
    <x v="1"/>
    <x v="2"/>
    <x v="0"/>
    <x v="1"/>
    <x v="0"/>
  </r>
  <r>
    <x v="0"/>
    <s v="ORD0189"/>
    <x v="16"/>
    <x v="7"/>
    <x v="1"/>
    <x v="7"/>
    <x v="0"/>
    <x v="21"/>
    <x v="9"/>
    <x v="4"/>
    <x v="1"/>
    <x v="2"/>
    <x v="0"/>
    <x v="2"/>
    <x v="1"/>
  </r>
  <r>
    <x v="0"/>
    <s v="ORD0190"/>
    <x v="20"/>
    <x v="0"/>
    <x v="0"/>
    <x v="0"/>
    <x v="3"/>
    <x v="7"/>
    <x v="4"/>
    <x v="4"/>
    <x v="3"/>
    <x v="2"/>
    <x v="0"/>
    <x v="1"/>
    <x v="0"/>
  </r>
  <r>
    <x v="0"/>
    <s v="ORD0191"/>
    <x v="47"/>
    <x v="6"/>
    <x v="2"/>
    <x v="6"/>
    <x v="1"/>
    <x v="9"/>
    <x v="2"/>
    <x v="7"/>
    <x v="1"/>
    <x v="1"/>
    <x v="0"/>
    <x v="1"/>
    <x v="0"/>
  </r>
  <r>
    <x v="0"/>
    <s v="ORD0192"/>
    <x v="43"/>
    <x v="1"/>
    <x v="1"/>
    <x v="1"/>
    <x v="0"/>
    <x v="14"/>
    <x v="4"/>
    <x v="3"/>
    <x v="4"/>
    <x v="1"/>
    <x v="0"/>
    <x v="0"/>
    <x v="0"/>
  </r>
  <r>
    <x v="0"/>
    <s v="ORD0193"/>
    <x v="40"/>
    <x v="5"/>
    <x v="3"/>
    <x v="5"/>
    <x v="4"/>
    <x v="18"/>
    <x v="5"/>
    <x v="9"/>
    <x v="1"/>
    <x v="1"/>
    <x v="0"/>
    <x v="0"/>
    <x v="0"/>
  </r>
  <r>
    <x v="0"/>
    <s v="ORD0194"/>
    <x v="13"/>
    <x v="6"/>
    <x v="2"/>
    <x v="6"/>
    <x v="1"/>
    <x v="9"/>
    <x v="2"/>
    <x v="1"/>
    <x v="0"/>
    <x v="0"/>
    <x v="0"/>
    <x v="1"/>
    <x v="0"/>
  </r>
  <r>
    <x v="0"/>
    <s v="ORD0195"/>
    <x v="4"/>
    <x v="4"/>
    <x v="1"/>
    <x v="4"/>
    <x v="0"/>
    <x v="31"/>
    <x v="3"/>
    <x v="2"/>
    <x v="4"/>
    <x v="0"/>
    <x v="0"/>
    <x v="2"/>
    <x v="1"/>
  </r>
  <r>
    <x v="0"/>
    <s v="ORD0196"/>
    <x v="12"/>
    <x v="1"/>
    <x v="1"/>
    <x v="1"/>
    <x v="4"/>
    <x v="6"/>
    <x v="7"/>
    <x v="7"/>
    <x v="0"/>
    <x v="1"/>
    <x v="0"/>
    <x v="6"/>
    <x v="3"/>
  </r>
  <r>
    <x v="0"/>
    <s v="ORD0197"/>
    <x v="8"/>
    <x v="0"/>
    <x v="0"/>
    <x v="0"/>
    <x v="2"/>
    <x v="2"/>
    <x v="6"/>
    <x v="2"/>
    <x v="4"/>
    <x v="2"/>
    <x v="0"/>
    <x v="4"/>
    <x v="1"/>
  </r>
  <r>
    <x v="0"/>
    <s v="ORD0198"/>
    <x v="13"/>
    <x v="7"/>
    <x v="1"/>
    <x v="7"/>
    <x v="1"/>
    <x v="32"/>
    <x v="9"/>
    <x v="7"/>
    <x v="1"/>
    <x v="1"/>
    <x v="0"/>
    <x v="1"/>
    <x v="0"/>
  </r>
  <r>
    <x v="0"/>
    <s v="ORD0199"/>
    <x v="49"/>
    <x v="4"/>
    <x v="1"/>
    <x v="4"/>
    <x v="0"/>
    <x v="31"/>
    <x v="8"/>
    <x v="3"/>
    <x v="2"/>
    <x v="2"/>
    <x v="0"/>
    <x v="1"/>
    <x v="0"/>
  </r>
  <r>
    <x v="0"/>
    <s v="ORD0200"/>
    <x v="16"/>
    <x v="5"/>
    <x v="3"/>
    <x v="5"/>
    <x v="2"/>
    <x v="8"/>
    <x v="8"/>
    <x v="8"/>
    <x v="0"/>
    <x v="2"/>
    <x v="0"/>
    <x v="2"/>
    <x v="1"/>
  </r>
  <r>
    <x v="0"/>
    <s v="ORD0201"/>
    <x v="24"/>
    <x v="5"/>
    <x v="3"/>
    <x v="5"/>
    <x v="1"/>
    <x v="7"/>
    <x v="6"/>
    <x v="1"/>
    <x v="2"/>
    <x v="2"/>
    <x v="0"/>
    <x v="0"/>
    <x v="0"/>
  </r>
  <r>
    <x v="0"/>
    <s v="ORD0202"/>
    <x v="57"/>
    <x v="4"/>
    <x v="1"/>
    <x v="4"/>
    <x v="2"/>
    <x v="13"/>
    <x v="7"/>
    <x v="5"/>
    <x v="2"/>
    <x v="0"/>
    <x v="0"/>
    <x v="1"/>
    <x v="0"/>
  </r>
  <r>
    <x v="0"/>
    <s v="ORD0203"/>
    <x v="57"/>
    <x v="9"/>
    <x v="4"/>
    <x v="9"/>
    <x v="0"/>
    <x v="17"/>
    <x v="2"/>
    <x v="3"/>
    <x v="0"/>
    <x v="2"/>
    <x v="0"/>
    <x v="1"/>
    <x v="0"/>
  </r>
  <r>
    <x v="0"/>
    <s v="ORD0204"/>
    <x v="7"/>
    <x v="0"/>
    <x v="0"/>
    <x v="0"/>
    <x v="4"/>
    <x v="14"/>
    <x v="9"/>
    <x v="5"/>
    <x v="4"/>
    <x v="1"/>
    <x v="0"/>
    <x v="3"/>
    <x v="2"/>
  </r>
  <r>
    <x v="0"/>
    <s v="ORD0205"/>
    <x v="51"/>
    <x v="1"/>
    <x v="1"/>
    <x v="1"/>
    <x v="2"/>
    <x v="30"/>
    <x v="5"/>
    <x v="4"/>
    <x v="3"/>
    <x v="2"/>
    <x v="0"/>
    <x v="1"/>
    <x v="0"/>
  </r>
  <r>
    <x v="0"/>
    <s v="ORD0206"/>
    <x v="25"/>
    <x v="8"/>
    <x v="4"/>
    <x v="8"/>
    <x v="4"/>
    <x v="34"/>
    <x v="0"/>
    <x v="5"/>
    <x v="1"/>
    <x v="1"/>
    <x v="0"/>
    <x v="4"/>
    <x v="1"/>
  </r>
  <r>
    <x v="0"/>
    <s v="ORD0207"/>
    <x v="50"/>
    <x v="8"/>
    <x v="4"/>
    <x v="8"/>
    <x v="3"/>
    <x v="5"/>
    <x v="2"/>
    <x v="5"/>
    <x v="2"/>
    <x v="2"/>
    <x v="0"/>
    <x v="0"/>
    <x v="0"/>
  </r>
  <r>
    <x v="0"/>
    <s v="ORD0208"/>
    <x v="58"/>
    <x v="9"/>
    <x v="4"/>
    <x v="9"/>
    <x v="0"/>
    <x v="17"/>
    <x v="2"/>
    <x v="5"/>
    <x v="3"/>
    <x v="2"/>
    <x v="0"/>
    <x v="1"/>
    <x v="0"/>
  </r>
  <r>
    <x v="0"/>
    <s v="ORD0209"/>
    <x v="54"/>
    <x v="6"/>
    <x v="2"/>
    <x v="6"/>
    <x v="4"/>
    <x v="30"/>
    <x v="7"/>
    <x v="3"/>
    <x v="3"/>
    <x v="2"/>
    <x v="0"/>
    <x v="0"/>
    <x v="0"/>
  </r>
  <r>
    <x v="0"/>
    <s v="ORD0210"/>
    <x v="53"/>
    <x v="7"/>
    <x v="1"/>
    <x v="7"/>
    <x v="0"/>
    <x v="21"/>
    <x v="9"/>
    <x v="0"/>
    <x v="3"/>
    <x v="2"/>
    <x v="0"/>
    <x v="0"/>
    <x v="0"/>
  </r>
  <r>
    <x v="0"/>
    <s v="ORD0211"/>
    <x v="10"/>
    <x v="4"/>
    <x v="1"/>
    <x v="4"/>
    <x v="3"/>
    <x v="6"/>
    <x v="5"/>
    <x v="5"/>
    <x v="4"/>
    <x v="1"/>
    <x v="0"/>
    <x v="0"/>
    <x v="0"/>
  </r>
  <r>
    <x v="0"/>
    <s v="ORD0212"/>
    <x v="46"/>
    <x v="3"/>
    <x v="2"/>
    <x v="3"/>
    <x v="1"/>
    <x v="23"/>
    <x v="0"/>
    <x v="4"/>
    <x v="0"/>
    <x v="2"/>
    <x v="0"/>
    <x v="9"/>
    <x v="2"/>
  </r>
  <r>
    <x v="0"/>
    <s v="ORD0213"/>
    <x v="48"/>
    <x v="7"/>
    <x v="1"/>
    <x v="7"/>
    <x v="3"/>
    <x v="35"/>
    <x v="9"/>
    <x v="8"/>
    <x v="1"/>
    <x v="0"/>
    <x v="0"/>
    <x v="10"/>
    <x v="3"/>
  </r>
  <r>
    <x v="0"/>
    <s v="ORD0214"/>
    <x v="36"/>
    <x v="2"/>
    <x v="1"/>
    <x v="2"/>
    <x v="4"/>
    <x v="29"/>
    <x v="1"/>
    <x v="4"/>
    <x v="0"/>
    <x v="2"/>
    <x v="0"/>
    <x v="1"/>
    <x v="0"/>
  </r>
  <r>
    <x v="0"/>
    <s v="ORD0215"/>
    <x v="18"/>
    <x v="0"/>
    <x v="0"/>
    <x v="0"/>
    <x v="3"/>
    <x v="7"/>
    <x v="0"/>
    <x v="4"/>
    <x v="3"/>
    <x v="2"/>
    <x v="0"/>
    <x v="7"/>
    <x v="2"/>
  </r>
  <r>
    <x v="0"/>
    <s v="ORD0216"/>
    <x v="30"/>
    <x v="6"/>
    <x v="2"/>
    <x v="6"/>
    <x v="2"/>
    <x v="23"/>
    <x v="8"/>
    <x v="9"/>
    <x v="2"/>
    <x v="2"/>
    <x v="0"/>
    <x v="0"/>
    <x v="0"/>
  </r>
  <r>
    <x v="0"/>
    <s v="ORD0217"/>
    <x v="38"/>
    <x v="0"/>
    <x v="0"/>
    <x v="0"/>
    <x v="2"/>
    <x v="2"/>
    <x v="0"/>
    <x v="6"/>
    <x v="4"/>
    <x v="1"/>
    <x v="0"/>
    <x v="0"/>
    <x v="0"/>
  </r>
  <r>
    <x v="0"/>
    <s v="ORD0218"/>
    <x v="2"/>
    <x v="1"/>
    <x v="1"/>
    <x v="1"/>
    <x v="1"/>
    <x v="1"/>
    <x v="7"/>
    <x v="0"/>
    <x v="4"/>
    <x v="0"/>
    <x v="0"/>
    <x v="1"/>
    <x v="0"/>
  </r>
  <r>
    <x v="0"/>
    <s v="ORD0219"/>
    <x v="9"/>
    <x v="1"/>
    <x v="1"/>
    <x v="1"/>
    <x v="0"/>
    <x v="14"/>
    <x v="5"/>
    <x v="4"/>
    <x v="3"/>
    <x v="0"/>
    <x v="0"/>
    <x v="1"/>
    <x v="0"/>
  </r>
  <r>
    <x v="0"/>
    <s v="ORD0220"/>
    <x v="16"/>
    <x v="2"/>
    <x v="1"/>
    <x v="2"/>
    <x v="0"/>
    <x v="3"/>
    <x v="6"/>
    <x v="2"/>
    <x v="0"/>
    <x v="2"/>
    <x v="0"/>
    <x v="2"/>
    <x v="1"/>
  </r>
  <r>
    <x v="0"/>
    <s v="ORD0221"/>
    <x v="47"/>
    <x v="8"/>
    <x v="4"/>
    <x v="8"/>
    <x v="2"/>
    <x v="12"/>
    <x v="1"/>
    <x v="9"/>
    <x v="4"/>
    <x v="0"/>
    <x v="0"/>
    <x v="1"/>
    <x v="0"/>
  </r>
  <r>
    <x v="0"/>
    <s v="ORD0222"/>
    <x v="29"/>
    <x v="8"/>
    <x v="4"/>
    <x v="8"/>
    <x v="2"/>
    <x v="12"/>
    <x v="8"/>
    <x v="7"/>
    <x v="3"/>
    <x v="0"/>
    <x v="0"/>
    <x v="1"/>
    <x v="0"/>
  </r>
  <r>
    <x v="0"/>
    <s v="ORD0223"/>
    <x v="21"/>
    <x v="6"/>
    <x v="2"/>
    <x v="6"/>
    <x v="2"/>
    <x v="23"/>
    <x v="5"/>
    <x v="2"/>
    <x v="1"/>
    <x v="0"/>
    <x v="0"/>
    <x v="0"/>
    <x v="0"/>
  </r>
  <r>
    <x v="0"/>
    <s v="ORD0224"/>
    <x v="5"/>
    <x v="9"/>
    <x v="4"/>
    <x v="9"/>
    <x v="3"/>
    <x v="12"/>
    <x v="9"/>
    <x v="5"/>
    <x v="3"/>
    <x v="2"/>
    <x v="0"/>
    <x v="0"/>
    <x v="0"/>
  </r>
  <r>
    <x v="0"/>
    <s v="ORD0225"/>
    <x v="39"/>
    <x v="6"/>
    <x v="2"/>
    <x v="6"/>
    <x v="3"/>
    <x v="24"/>
    <x v="4"/>
    <x v="0"/>
    <x v="4"/>
    <x v="0"/>
    <x v="0"/>
    <x v="11"/>
    <x v="1"/>
  </r>
  <r>
    <x v="0"/>
    <s v="ORD0226"/>
    <x v="59"/>
    <x v="0"/>
    <x v="0"/>
    <x v="0"/>
    <x v="1"/>
    <x v="25"/>
    <x v="8"/>
    <x v="9"/>
    <x v="1"/>
    <x v="2"/>
    <x v="0"/>
    <x v="8"/>
    <x v="3"/>
  </r>
  <r>
    <x v="0"/>
    <s v="ORD0227"/>
    <x v="27"/>
    <x v="1"/>
    <x v="1"/>
    <x v="1"/>
    <x v="4"/>
    <x v="6"/>
    <x v="0"/>
    <x v="5"/>
    <x v="1"/>
    <x v="0"/>
    <x v="0"/>
    <x v="1"/>
    <x v="0"/>
  </r>
  <r>
    <x v="0"/>
    <s v="ORD0228"/>
    <x v="25"/>
    <x v="0"/>
    <x v="0"/>
    <x v="0"/>
    <x v="3"/>
    <x v="7"/>
    <x v="5"/>
    <x v="1"/>
    <x v="2"/>
    <x v="1"/>
    <x v="0"/>
    <x v="4"/>
    <x v="1"/>
  </r>
  <r>
    <x v="0"/>
    <s v="ORD0229"/>
    <x v="50"/>
    <x v="0"/>
    <x v="0"/>
    <x v="0"/>
    <x v="0"/>
    <x v="0"/>
    <x v="0"/>
    <x v="1"/>
    <x v="2"/>
    <x v="1"/>
    <x v="0"/>
    <x v="0"/>
    <x v="0"/>
  </r>
  <r>
    <x v="0"/>
    <s v="ORD0230"/>
    <x v="43"/>
    <x v="1"/>
    <x v="1"/>
    <x v="1"/>
    <x v="1"/>
    <x v="1"/>
    <x v="9"/>
    <x v="1"/>
    <x v="1"/>
    <x v="1"/>
    <x v="0"/>
    <x v="0"/>
    <x v="0"/>
  </r>
  <r>
    <x v="0"/>
    <s v="ORD0231"/>
    <x v="29"/>
    <x v="7"/>
    <x v="1"/>
    <x v="7"/>
    <x v="4"/>
    <x v="26"/>
    <x v="9"/>
    <x v="6"/>
    <x v="2"/>
    <x v="0"/>
    <x v="0"/>
    <x v="1"/>
    <x v="0"/>
  </r>
  <r>
    <x v="0"/>
    <s v="ORD0232"/>
    <x v="0"/>
    <x v="9"/>
    <x v="4"/>
    <x v="9"/>
    <x v="0"/>
    <x v="17"/>
    <x v="0"/>
    <x v="8"/>
    <x v="2"/>
    <x v="2"/>
    <x v="0"/>
    <x v="0"/>
    <x v="0"/>
  </r>
  <r>
    <x v="0"/>
    <s v="ORD0233"/>
    <x v="13"/>
    <x v="0"/>
    <x v="0"/>
    <x v="0"/>
    <x v="3"/>
    <x v="7"/>
    <x v="5"/>
    <x v="6"/>
    <x v="3"/>
    <x v="0"/>
    <x v="0"/>
    <x v="1"/>
    <x v="0"/>
  </r>
  <r>
    <x v="0"/>
    <s v="ORD0234"/>
    <x v="7"/>
    <x v="5"/>
    <x v="3"/>
    <x v="5"/>
    <x v="3"/>
    <x v="16"/>
    <x v="9"/>
    <x v="5"/>
    <x v="1"/>
    <x v="0"/>
    <x v="0"/>
    <x v="3"/>
    <x v="2"/>
  </r>
  <r>
    <x v="0"/>
    <s v="ORD0235"/>
    <x v="53"/>
    <x v="9"/>
    <x v="4"/>
    <x v="9"/>
    <x v="3"/>
    <x v="12"/>
    <x v="7"/>
    <x v="3"/>
    <x v="3"/>
    <x v="2"/>
    <x v="0"/>
    <x v="0"/>
    <x v="0"/>
  </r>
  <r>
    <x v="0"/>
    <s v="ORD0236"/>
    <x v="59"/>
    <x v="4"/>
    <x v="1"/>
    <x v="4"/>
    <x v="4"/>
    <x v="27"/>
    <x v="2"/>
    <x v="6"/>
    <x v="3"/>
    <x v="2"/>
    <x v="0"/>
    <x v="8"/>
    <x v="3"/>
  </r>
  <r>
    <x v="0"/>
    <s v="ORD0237"/>
    <x v="35"/>
    <x v="1"/>
    <x v="1"/>
    <x v="1"/>
    <x v="0"/>
    <x v="14"/>
    <x v="6"/>
    <x v="4"/>
    <x v="0"/>
    <x v="0"/>
    <x v="0"/>
    <x v="11"/>
    <x v="1"/>
  </r>
  <r>
    <x v="0"/>
    <s v="ORD0238"/>
    <x v="42"/>
    <x v="1"/>
    <x v="1"/>
    <x v="1"/>
    <x v="3"/>
    <x v="19"/>
    <x v="3"/>
    <x v="2"/>
    <x v="3"/>
    <x v="2"/>
    <x v="0"/>
    <x v="0"/>
    <x v="0"/>
  </r>
  <r>
    <x v="0"/>
    <s v="ORD0239"/>
    <x v="17"/>
    <x v="2"/>
    <x v="1"/>
    <x v="2"/>
    <x v="4"/>
    <x v="29"/>
    <x v="7"/>
    <x v="4"/>
    <x v="1"/>
    <x v="2"/>
    <x v="0"/>
    <x v="0"/>
    <x v="0"/>
  </r>
  <r>
    <x v="0"/>
    <s v="ORD0240"/>
    <x v="28"/>
    <x v="2"/>
    <x v="1"/>
    <x v="2"/>
    <x v="3"/>
    <x v="22"/>
    <x v="2"/>
    <x v="2"/>
    <x v="4"/>
    <x v="1"/>
    <x v="0"/>
    <x v="9"/>
    <x v="2"/>
  </r>
  <r>
    <x v="0"/>
    <s v="ORD0241"/>
    <x v="40"/>
    <x v="4"/>
    <x v="1"/>
    <x v="4"/>
    <x v="1"/>
    <x v="20"/>
    <x v="3"/>
    <x v="0"/>
    <x v="2"/>
    <x v="1"/>
    <x v="0"/>
    <x v="0"/>
    <x v="0"/>
  </r>
  <r>
    <x v="0"/>
    <s v="ORD0242"/>
    <x v="7"/>
    <x v="4"/>
    <x v="1"/>
    <x v="4"/>
    <x v="1"/>
    <x v="20"/>
    <x v="8"/>
    <x v="6"/>
    <x v="4"/>
    <x v="1"/>
    <x v="0"/>
    <x v="3"/>
    <x v="2"/>
  </r>
  <r>
    <x v="0"/>
    <s v="ORD0243"/>
    <x v="59"/>
    <x v="0"/>
    <x v="0"/>
    <x v="0"/>
    <x v="2"/>
    <x v="2"/>
    <x v="8"/>
    <x v="4"/>
    <x v="1"/>
    <x v="2"/>
    <x v="0"/>
    <x v="8"/>
    <x v="3"/>
  </r>
  <r>
    <x v="0"/>
    <s v="ORD0244"/>
    <x v="48"/>
    <x v="4"/>
    <x v="1"/>
    <x v="4"/>
    <x v="1"/>
    <x v="20"/>
    <x v="0"/>
    <x v="4"/>
    <x v="2"/>
    <x v="2"/>
    <x v="0"/>
    <x v="10"/>
    <x v="3"/>
  </r>
  <r>
    <x v="0"/>
    <s v="ORD0245"/>
    <x v="26"/>
    <x v="7"/>
    <x v="1"/>
    <x v="7"/>
    <x v="3"/>
    <x v="35"/>
    <x v="6"/>
    <x v="8"/>
    <x v="2"/>
    <x v="0"/>
    <x v="0"/>
    <x v="6"/>
    <x v="3"/>
  </r>
  <r>
    <x v="0"/>
    <s v="ORD0246"/>
    <x v="31"/>
    <x v="3"/>
    <x v="2"/>
    <x v="3"/>
    <x v="2"/>
    <x v="24"/>
    <x v="7"/>
    <x v="5"/>
    <x v="0"/>
    <x v="0"/>
    <x v="0"/>
    <x v="0"/>
    <x v="0"/>
  </r>
  <r>
    <x v="0"/>
    <s v="ORD0247"/>
    <x v="40"/>
    <x v="6"/>
    <x v="2"/>
    <x v="6"/>
    <x v="3"/>
    <x v="24"/>
    <x v="4"/>
    <x v="3"/>
    <x v="0"/>
    <x v="0"/>
    <x v="0"/>
    <x v="0"/>
    <x v="0"/>
  </r>
  <r>
    <x v="0"/>
    <s v="ORD0248"/>
    <x v="59"/>
    <x v="3"/>
    <x v="2"/>
    <x v="3"/>
    <x v="2"/>
    <x v="24"/>
    <x v="8"/>
    <x v="2"/>
    <x v="0"/>
    <x v="0"/>
    <x v="0"/>
    <x v="8"/>
    <x v="3"/>
  </r>
  <r>
    <x v="0"/>
    <s v="ORD0249"/>
    <x v="7"/>
    <x v="2"/>
    <x v="1"/>
    <x v="2"/>
    <x v="0"/>
    <x v="3"/>
    <x v="1"/>
    <x v="0"/>
    <x v="0"/>
    <x v="0"/>
    <x v="0"/>
    <x v="3"/>
    <x v="2"/>
  </r>
  <r>
    <x v="0"/>
    <s v="ORD0250"/>
    <x v="3"/>
    <x v="4"/>
    <x v="1"/>
    <x v="4"/>
    <x v="1"/>
    <x v="20"/>
    <x v="1"/>
    <x v="7"/>
    <x v="1"/>
    <x v="2"/>
    <x v="0"/>
    <x v="1"/>
    <x v="0"/>
  </r>
  <r>
    <x v="0"/>
    <m/>
    <x v="60"/>
    <x v="10"/>
    <x v="5"/>
    <x v="10"/>
    <x v="5"/>
    <x v="36"/>
    <x v="10"/>
    <x v="10"/>
    <x v="5"/>
    <x v="3"/>
    <x v="1"/>
    <x v="1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E34541-85E7-4840-954C-67ED115D87EE}"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 fieldListSortAscending="1">
  <location ref="B39:F99" firstHeaderRow="0" firstDataRow="1" firstDataCol="1" rowPageCount="3" colPageCount="1"/>
  <pivotFields count="16">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Page" showAll="0">
      <items count="7">
        <item x="3"/>
        <item x="2"/>
        <item x="1"/>
        <item x="0"/>
        <item x="4"/>
        <item x="5"/>
        <item t="default"/>
      </items>
    </pivotField>
    <pivotField dataField="1" showAll="0"/>
    <pivotField dataField="1" showAll="0"/>
    <pivotField dataField="1" showAll="0"/>
    <pivotField showAll="0"/>
    <pivotField axis="axisPage" showAll="0">
      <items count="12">
        <item x="6"/>
        <item x="9"/>
        <item x="3"/>
        <item x="2"/>
        <item x="4"/>
        <item x="8"/>
        <item x="5"/>
        <item x="0"/>
        <item x="1"/>
        <item x="7"/>
        <item x="10"/>
        <item t="default"/>
      </items>
    </pivotField>
    <pivotField showAll="0"/>
    <pivotField axis="axisPage" showAll="0">
      <items count="5">
        <item x="0"/>
        <item x="2"/>
        <item x="1"/>
        <item x="3"/>
        <item t="default"/>
      </items>
    </pivotField>
    <pivotField showAll="0"/>
    <pivotField showAll="0">
      <items count="14">
        <item x="5"/>
        <item x="1"/>
        <item x="0"/>
        <item x="6"/>
        <item x="8"/>
        <item x="10"/>
        <item x="7"/>
        <item x="3"/>
        <item x="9"/>
        <item x="2"/>
        <item x="11"/>
        <item x="4"/>
        <item h="1" x="12"/>
        <item t="default"/>
      </items>
    </pivotField>
    <pivotField showAll="0">
      <items count="6">
        <item x="0"/>
        <item x="3"/>
        <item x="2"/>
        <item x="1"/>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0">
    <i>
      <x v="3"/>
    </i>
    <i>
      <x v="4"/>
    </i>
    <i>
      <x v="33"/>
    </i>
    <i>
      <x v="34"/>
    </i>
    <i>
      <x v="35"/>
    </i>
    <i>
      <x v="44"/>
    </i>
    <i>
      <x v="45"/>
    </i>
    <i>
      <x v="46"/>
    </i>
    <i>
      <x v="47"/>
    </i>
    <i>
      <x v="48"/>
    </i>
    <i>
      <x v="49"/>
    </i>
    <i>
      <x v="50"/>
    </i>
    <i>
      <x v="51"/>
    </i>
    <i>
      <x v="52"/>
    </i>
    <i>
      <x v="53"/>
    </i>
    <i>
      <x v="54"/>
    </i>
    <i>
      <x v="55"/>
    </i>
    <i>
      <x v="56"/>
    </i>
    <i>
      <x v="57"/>
    </i>
    <i>
      <x v="58"/>
    </i>
    <i>
      <x v="59"/>
    </i>
    <i>
      <x v="62"/>
    </i>
    <i>
      <x v="63"/>
    </i>
    <i>
      <x v="73"/>
    </i>
    <i>
      <x v="74"/>
    </i>
    <i>
      <x v="75"/>
    </i>
    <i>
      <x v="76"/>
    </i>
    <i>
      <x v="77"/>
    </i>
    <i>
      <x v="78"/>
    </i>
    <i>
      <x v="79"/>
    </i>
    <i>
      <x v="80"/>
    </i>
    <i>
      <x v="81"/>
    </i>
    <i>
      <x v="82"/>
    </i>
    <i>
      <x v="83"/>
    </i>
    <i>
      <x v="84"/>
    </i>
    <i>
      <x v="85"/>
    </i>
    <i>
      <x v="86"/>
    </i>
    <i>
      <x v="87"/>
    </i>
    <i>
      <x v="88"/>
    </i>
    <i>
      <x v="89"/>
    </i>
    <i>
      <x v="90"/>
    </i>
    <i>
      <x v="91"/>
    </i>
    <i>
      <x v="93"/>
    </i>
    <i>
      <x v="94"/>
    </i>
    <i>
      <x v="123"/>
    </i>
    <i>
      <x v="124"/>
    </i>
    <i>
      <x v="154"/>
    </i>
    <i>
      <x v="155"/>
    </i>
    <i>
      <x v="184"/>
    </i>
    <i>
      <x v="185"/>
    </i>
    <i>
      <x v="215"/>
    </i>
    <i>
      <x v="216"/>
    </i>
    <i>
      <x v="246"/>
    </i>
    <i>
      <x v="247"/>
    </i>
    <i>
      <x v="276"/>
    </i>
    <i>
      <x v="277"/>
    </i>
    <i>
      <x v="307"/>
    </i>
    <i>
      <x v="308"/>
    </i>
    <i>
      <x v="337"/>
    </i>
    <i>
      <x v="338"/>
    </i>
  </rowItems>
  <colFields count="1">
    <field x="-2"/>
  </colFields>
  <colItems count="4">
    <i>
      <x/>
    </i>
    <i i="1">
      <x v="1"/>
    </i>
    <i i="2">
      <x v="2"/>
    </i>
    <i i="3">
      <x v="3"/>
    </i>
  </colItems>
  <pageFields count="3">
    <pageField fld="4" hier="-1"/>
    <pageField fld="9" hier="-1"/>
    <pageField fld="11" hier="-1"/>
  </pageFields>
  <dataFields count="4">
    <dataField name="Count of Product" fld="3" subtotal="count" baseField="0" baseItem="0"/>
    <dataField name="Sum of Price" fld="5" baseField="0" baseItem="0"/>
    <dataField name="Sum of Quantity" fld="6" baseField="0" baseItem="0"/>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03CA1D-21D9-4093-B94E-5457467708D8}"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3" fieldListSortAscending="1">
  <location ref="I21:J26" firstHeaderRow="1" firstDataRow="1" firstDataCol="1"/>
  <pivotFields count="16">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3"/>
        <item x="2"/>
        <item x="1"/>
        <item x="0"/>
        <item x="4"/>
        <item x="5"/>
        <item t="default"/>
      </items>
    </pivotField>
    <pivotField showAll="0"/>
    <pivotField showAll="0"/>
    <pivotField showAll="0"/>
    <pivotField showAll="0"/>
    <pivotField showAll="0">
      <items count="12">
        <item x="6"/>
        <item x="9"/>
        <item x="3"/>
        <item x="2"/>
        <item x="4"/>
        <item x="8"/>
        <item x="5"/>
        <item x="0"/>
        <item x="1"/>
        <item x="7"/>
        <item x="10"/>
        <item t="default"/>
      </items>
    </pivotField>
    <pivotField axis="axisRow" showAll="0">
      <items count="7">
        <item x="1"/>
        <item x="2"/>
        <item x="0"/>
        <item x="4"/>
        <item x="3"/>
        <item h="1" x="5"/>
        <item t="default"/>
      </items>
    </pivotField>
    <pivotField showAll="0"/>
    <pivotField showAll="0"/>
    <pivotField showAll="0">
      <items count="14">
        <item x="5"/>
        <item x="1"/>
        <item x="0"/>
        <item x="6"/>
        <item x="8"/>
        <item x="10"/>
        <item x="7"/>
        <item x="3"/>
        <item x="9"/>
        <item x="2"/>
        <item x="11"/>
        <item x="4"/>
        <item h="1" x="1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5">
    <i>
      <x/>
    </i>
    <i>
      <x v="1"/>
    </i>
    <i>
      <x v="2"/>
    </i>
    <i>
      <x v="3"/>
    </i>
    <i>
      <x v="4"/>
    </i>
  </rowItems>
  <colItems count="1">
    <i/>
  </colItems>
  <dataFields count="1">
    <dataField name="Count of Order ID" fld="1" subtotal="count" baseField="0"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5BE134-44AB-405D-9A77-FE03E0CBA0C4}"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1" fieldListSortAscending="1">
  <location ref="A21:B24" firstHeaderRow="1" firstDataRow="1" firstDataCol="1"/>
  <pivotFields count="16">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7">
        <item x="3"/>
        <item x="2"/>
        <item x="1"/>
        <item x="0"/>
        <item x="4"/>
        <item x="5"/>
        <item t="default"/>
      </items>
    </pivotField>
    <pivotField showAll="0"/>
    <pivotField showAll="0"/>
    <pivotField dataField="1" showAll="0">
      <items count="38">
        <item x="16"/>
        <item x="4"/>
        <item x="8"/>
        <item x="24"/>
        <item x="28"/>
        <item x="7"/>
        <item x="18"/>
        <item x="23"/>
        <item x="19"/>
        <item x="2"/>
        <item x="22"/>
        <item x="9"/>
        <item x="0"/>
        <item x="30"/>
        <item x="25"/>
        <item x="14"/>
        <item x="1"/>
        <item x="3"/>
        <item x="6"/>
        <item x="5"/>
        <item x="29"/>
        <item x="35"/>
        <item x="13"/>
        <item x="12"/>
        <item x="31"/>
        <item x="10"/>
        <item x="11"/>
        <item x="20"/>
        <item x="21"/>
        <item x="27"/>
        <item x="34"/>
        <item x="32"/>
        <item x="17"/>
        <item x="26"/>
        <item x="15"/>
        <item x="33"/>
        <item x="36"/>
        <item t="default"/>
      </items>
    </pivotField>
    <pivotField showAll="0"/>
    <pivotField showAll="0">
      <items count="12">
        <item x="6"/>
        <item x="9"/>
        <item x="3"/>
        <item x="2"/>
        <item x="4"/>
        <item x="8"/>
        <item x="5"/>
        <item x="0"/>
        <item x="1"/>
        <item x="7"/>
        <item x="10"/>
        <item t="default"/>
      </items>
    </pivotField>
    <pivotField showAll="0"/>
    <pivotField axis="axisRow" showAll="0">
      <items count="5">
        <item x="0"/>
        <item x="2"/>
        <item x="1"/>
        <item x="3"/>
        <item t="default"/>
      </items>
    </pivotField>
    <pivotField showAll="0"/>
    <pivotField showAll="0">
      <items count="14">
        <item x="5"/>
        <item x="1"/>
        <item x="0"/>
        <item x="6"/>
        <item x="8"/>
        <item x="10"/>
        <item x="7"/>
        <item x="3"/>
        <item x="9"/>
        <item x="2"/>
        <item x="11"/>
        <item x="4"/>
        <item h="1" x="1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3">
    <i>
      <x/>
    </i>
    <i>
      <x v="1"/>
    </i>
    <i>
      <x v="2"/>
    </i>
  </rowItems>
  <colItems count="1">
    <i/>
  </colItems>
  <dataFields count="1">
    <dataField name="Sum of Total Sales" fld="7" baseField="0" baseItem="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82B7EC-45C6-49EA-B984-E45DAC95958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fieldListSortAscending="1">
  <location ref="A1:D2" firstHeaderRow="0" firstDataRow="1" firstDataCol="0"/>
  <pivotFields count="16">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4">
    <i>
      <x/>
    </i>
    <i i="1">
      <x v="1"/>
    </i>
    <i i="2">
      <x v="2"/>
    </i>
    <i i="3">
      <x v="3"/>
    </i>
  </colItems>
  <dataFields count="4">
    <dataField name="Count of Product" fld="3" subtotal="count" baseField="0" baseItem="0"/>
    <dataField name="Sum of Price" fld="5" baseField="0" baseItem="0"/>
    <dataField name="Sum of Quantity" fld="6" baseField="0" baseItem="0"/>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642E8B-B00F-429F-BA67-209B7C4AAC36}" name="PivotTable2"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fieldListSortAscending="1">
  <location ref="A5:E17" firstHeaderRow="0" firstDataRow="1" firstDataCol="1"/>
  <pivotFields count="16">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7">
        <item x="3"/>
        <item x="2"/>
        <item x="1"/>
        <item x="0"/>
        <item x="4"/>
        <item x="5"/>
        <item t="default"/>
      </items>
    </pivotField>
    <pivotField dataField="1" showAll="0"/>
    <pivotField dataField="1" showAll="0"/>
    <pivotField dataField="1" showAll="0"/>
    <pivotField showAll="0"/>
    <pivotField showAll="0">
      <items count="12">
        <item x="6"/>
        <item x="9"/>
        <item x="3"/>
        <item x="2"/>
        <item x="4"/>
        <item x="8"/>
        <item x="5"/>
        <item x="0"/>
        <item x="1"/>
        <item x="7"/>
        <item x="10"/>
        <item t="default"/>
      </items>
    </pivotField>
    <pivotField showAll="0"/>
    <pivotField showAll="0"/>
    <pivotField showAll="0"/>
    <pivotField axis="axisRow" showAll="0">
      <items count="14">
        <item x="5"/>
        <item x="1"/>
        <item x="0"/>
        <item x="6"/>
        <item x="8"/>
        <item x="10"/>
        <item x="7"/>
        <item x="3"/>
        <item x="9"/>
        <item x="2"/>
        <item x="11"/>
        <item x="4"/>
        <item h="1" x="1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2">
    <i>
      <x/>
    </i>
    <i>
      <x v="1"/>
    </i>
    <i>
      <x v="2"/>
    </i>
    <i>
      <x v="3"/>
    </i>
    <i>
      <x v="4"/>
    </i>
    <i>
      <x v="5"/>
    </i>
    <i>
      <x v="6"/>
    </i>
    <i>
      <x v="7"/>
    </i>
    <i>
      <x v="8"/>
    </i>
    <i>
      <x v="9"/>
    </i>
    <i>
      <x v="10"/>
    </i>
    <i>
      <x v="11"/>
    </i>
  </rowItems>
  <colFields count="1">
    <field x="-2"/>
  </colFields>
  <colItems count="4">
    <i>
      <x/>
    </i>
    <i i="1">
      <x v="1"/>
    </i>
    <i i="2">
      <x v="2"/>
    </i>
    <i i="3">
      <x v="3"/>
    </i>
  </colItems>
  <dataFields count="4">
    <dataField name="Count of Product" fld="3" subtotal="count" baseField="0" baseItem="0"/>
    <dataField name="Sum of Price" fld="5" baseField="0" baseItem="0"/>
    <dataField name="Sum of Quantity" fld="6" baseField="0" baseItem="0"/>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0E3DF41-D41F-44F8-AE06-C69835803C30}" sourceName="Category">
  <pivotTables>
    <pivotTable tabId="3" name="PivotTable2"/>
    <pivotTable tabId="3" name="PivotTable4"/>
    <pivotTable tabId="3" name="PivotTable5"/>
    <pivotTable tabId="3" name="PivotTable6"/>
  </pivotTables>
  <data>
    <tabular pivotCacheId="693128577">
      <items count="6">
        <i x="3" s="1"/>
        <i x="2" s="1"/>
        <i x="1" s="1"/>
        <i x="0" s="1"/>
        <i x="4"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E9EB8A88-DD5D-4AF9-8B60-87DC0FC552CD}" sourceName="Customer Location">
  <pivotTables>
    <pivotTable tabId="3" name="PivotTable2"/>
    <pivotTable tabId="3" name="PivotTable4"/>
    <pivotTable tabId="3" name="PivotTable5"/>
    <pivotTable tabId="3" name="PivotTable6"/>
  </pivotTables>
  <data>
    <tabular pivotCacheId="693128577">
      <items count="11">
        <i x="6" s="1"/>
        <i x="9" s="1"/>
        <i x="3" s="1"/>
        <i x="2" s="1"/>
        <i x="4" s="1"/>
        <i x="8" s="1"/>
        <i x="5" s="1"/>
        <i x="0" s="1"/>
        <i x="1" s="1"/>
        <i x="7"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26FB2D0-5F0F-4A84-9075-A4251CB39B4A}" sourceName="Month Name">
  <pivotTables>
    <pivotTable tabId="3" name="PivotTable2"/>
    <pivotTable tabId="3" name="PivotTable4"/>
    <pivotTable tabId="3" name="PivotTable5"/>
    <pivotTable tabId="3" name="PivotTable6"/>
  </pivotTables>
  <data>
    <tabular pivotCacheId="693128577">
      <items count="13">
        <i x="5" s="1"/>
        <i x="1" s="1"/>
        <i x="0" s="1"/>
        <i x="6" s="1"/>
        <i x="8" s="1"/>
        <i x="10" s="1"/>
        <i x="7" s="1"/>
        <i x="3" s="1"/>
        <i x="9" s="1"/>
        <i x="2" s="1"/>
        <i x="11" s="1"/>
        <i x="4" s="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8941419-CECD-481E-AE0A-BD5C95F23C5F}" cache="Slicer_Category" caption="Category" style="SlicerStyleOther1" rowHeight="241300"/>
  <slicer name="Customer Location" xr10:uid="{22917774-6684-41AA-AFCA-DA2781465706}" cache="Slicer_Customer_Location" caption="Customer Location" startItem="3" style="SlicerStyleOther1" rowHeight="241300"/>
  <slicer name="Month Name" xr10:uid="{AE914D61-84D6-4F09-93CD-57275CA6DCBB}" cache="Slicer_Month_Name" caption="Month Name"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2B014-08E2-4483-8C01-5697F15792D7}">
  <sheetPr>
    <pageSetUpPr autoPageBreaks="0"/>
  </sheetPr>
  <dimension ref="A1"/>
  <sheetViews>
    <sheetView showGridLines="0" showRowColHeaders="0" tabSelected="1" zoomScale="70" zoomScaleNormal="70" workbookViewId="0">
      <selection activeCell="O8" sqref="O8"/>
    </sheetView>
  </sheetViews>
  <sheetFormatPr defaultRowHeight="15" x14ac:dyDescent="0.25"/>
  <cols>
    <col min="1" max="1" width="23" customWidth="1"/>
    <col min="2" max="2" width="10.7109375" bestFit="1" customWidth="1"/>
    <col min="3" max="3" width="9.7109375" bestFit="1" customWidth="1"/>
    <col min="4" max="4" width="16.7109375" bestFit="1" customWidth="1"/>
    <col min="5" max="5" width="16.5703125" bestFit="1" customWidth="1"/>
    <col min="6" max="7" width="11" customWidth="1"/>
    <col min="8" max="8" width="12.7109375" bestFit="1" customWidth="1"/>
    <col min="9" max="9" width="17.7109375" bestFit="1" customWidth="1"/>
    <col min="10" max="10" width="20" bestFit="1" customWidth="1"/>
    <col min="11" max="11" width="18.85546875" bestFit="1" customWidth="1"/>
    <col min="12" max="12" width="10.85546875" bestFit="1"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EC4AD-369E-44AB-8072-DED9DB6AD5A5}">
  <dimension ref="A1:M99"/>
  <sheetViews>
    <sheetView showGridLines="0" zoomScale="68" workbookViewId="0">
      <selection activeCell="H47" sqref="H47"/>
    </sheetView>
  </sheetViews>
  <sheetFormatPr defaultRowHeight="15" x14ac:dyDescent="0.25"/>
  <cols>
    <col min="1" max="1" width="18.42578125" bestFit="1" customWidth="1"/>
    <col min="2" max="2" width="19.85546875" bestFit="1" customWidth="1"/>
    <col min="3" max="3" width="21.7109375" bestFit="1" customWidth="1"/>
    <col min="4" max="4" width="16.5703125" bestFit="1" customWidth="1"/>
    <col min="5" max="5" width="20.5703125" bestFit="1" customWidth="1"/>
    <col min="6" max="6" width="23.85546875" bestFit="1" customWidth="1"/>
    <col min="7" max="7" width="10.85546875" bestFit="1" customWidth="1"/>
    <col min="8" max="8" width="8.28515625" bestFit="1" customWidth="1"/>
    <col min="9" max="9" width="18.42578125" bestFit="1" customWidth="1"/>
    <col min="10" max="10" width="22.140625" bestFit="1" customWidth="1"/>
    <col min="11" max="11" width="8.28515625" bestFit="1" customWidth="1"/>
    <col min="12" max="12" width="17.28515625" bestFit="1" customWidth="1"/>
    <col min="13" max="13" width="10.85546875" bestFit="1" customWidth="1"/>
    <col min="14" max="14" width="8.28515625" bestFit="1" customWidth="1"/>
    <col min="15" max="15" width="10.5703125" bestFit="1" customWidth="1"/>
    <col min="16" max="16" width="9.42578125" bestFit="1" customWidth="1"/>
    <col min="17" max="17" width="16.5703125" bestFit="1" customWidth="1"/>
    <col min="18" max="18" width="17.28515625" bestFit="1" customWidth="1"/>
    <col min="19" max="19" width="8.42578125" bestFit="1" customWidth="1"/>
    <col min="20" max="20" width="10.5703125" bestFit="1" customWidth="1"/>
    <col min="21" max="21" width="9.42578125" bestFit="1" customWidth="1"/>
    <col min="22" max="22" width="16.5703125" bestFit="1" customWidth="1"/>
    <col min="23" max="23" width="7.28515625" bestFit="1" customWidth="1"/>
    <col min="24" max="24" width="30" bestFit="1" customWidth="1"/>
    <col min="25" max="25" width="17" bestFit="1" customWidth="1"/>
  </cols>
  <sheetData>
    <row r="1" spans="1:13" x14ac:dyDescent="0.25">
      <c r="A1" t="s">
        <v>4</v>
      </c>
      <c r="B1" t="s">
        <v>1</v>
      </c>
      <c r="C1" t="s">
        <v>3</v>
      </c>
      <c r="D1" t="s">
        <v>2</v>
      </c>
      <c r="H1" s="5"/>
    </row>
    <row r="2" spans="1:13" x14ac:dyDescent="0.25">
      <c r="A2" s="1">
        <v>250</v>
      </c>
      <c r="B2" s="1">
        <v>85895</v>
      </c>
      <c r="C2" s="1">
        <v>714</v>
      </c>
      <c r="D2" s="1">
        <v>243845</v>
      </c>
      <c r="G2" t="s">
        <v>18</v>
      </c>
      <c r="H2">
        <v>300000</v>
      </c>
      <c r="K2" t="s">
        <v>21</v>
      </c>
      <c r="L2">
        <v>300</v>
      </c>
    </row>
    <row r="3" spans="1:13" x14ac:dyDescent="0.25">
      <c r="G3" t="s">
        <v>19</v>
      </c>
      <c r="H3">
        <f>GETPIVOTDATA("Sum of Total Sales",$A$1)</f>
        <v>243845</v>
      </c>
      <c r="K3" t="s">
        <v>4</v>
      </c>
      <c r="L3">
        <f>GETPIVOTDATA("Count of Product",$A$1)</f>
        <v>250</v>
      </c>
    </row>
    <row r="4" spans="1:13" x14ac:dyDescent="0.25">
      <c r="G4" t="s">
        <v>20</v>
      </c>
      <c r="H4">
        <f>H2-H3</f>
        <v>56155</v>
      </c>
      <c r="I4" s="4">
        <f>H3/H2</f>
        <v>0.81281666666666663</v>
      </c>
      <c r="K4" t="s">
        <v>22</v>
      </c>
      <c r="L4">
        <f>L2-L3</f>
        <v>50</v>
      </c>
      <c r="M4" s="4">
        <f>L3/L2</f>
        <v>0.83333333333333337</v>
      </c>
    </row>
    <row r="5" spans="1:13" x14ac:dyDescent="0.25">
      <c r="A5" s="2" t="s">
        <v>5</v>
      </c>
      <c r="B5" t="s">
        <v>4</v>
      </c>
      <c r="C5" t="s">
        <v>1</v>
      </c>
      <c r="D5" t="s">
        <v>3</v>
      </c>
      <c r="E5" t="s">
        <v>2</v>
      </c>
    </row>
    <row r="6" spans="1:13" x14ac:dyDescent="0.25">
      <c r="A6" s="3" t="s">
        <v>6</v>
      </c>
      <c r="B6" s="1">
        <v>4</v>
      </c>
      <c r="C6" s="1">
        <v>1070</v>
      </c>
      <c r="D6" s="1">
        <v>7</v>
      </c>
      <c r="E6" s="1">
        <v>2120</v>
      </c>
    </row>
    <row r="7" spans="1:13" x14ac:dyDescent="0.25">
      <c r="A7" s="3" t="s">
        <v>7</v>
      </c>
      <c r="B7" s="1">
        <v>80</v>
      </c>
      <c r="C7" s="1">
        <v>27325</v>
      </c>
      <c r="D7" s="1">
        <v>232</v>
      </c>
      <c r="E7" s="1">
        <v>77610</v>
      </c>
    </row>
    <row r="8" spans="1:13" x14ac:dyDescent="0.25">
      <c r="A8" s="3" t="s">
        <v>8</v>
      </c>
      <c r="B8" s="1">
        <v>94</v>
      </c>
      <c r="C8" s="1">
        <v>29010</v>
      </c>
      <c r="D8" s="1">
        <v>265</v>
      </c>
      <c r="E8" s="1">
        <v>78295</v>
      </c>
    </row>
    <row r="9" spans="1:13" x14ac:dyDescent="0.25">
      <c r="A9" s="3" t="s">
        <v>9</v>
      </c>
      <c r="B9" s="1">
        <v>6</v>
      </c>
      <c r="C9" s="1">
        <v>3915</v>
      </c>
      <c r="D9" s="1">
        <v>18</v>
      </c>
      <c r="E9" s="1">
        <v>12715</v>
      </c>
    </row>
    <row r="10" spans="1:13" x14ac:dyDescent="0.25">
      <c r="A10" s="3" t="s">
        <v>10</v>
      </c>
      <c r="B10" s="1">
        <v>7</v>
      </c>
      <c r="C10" s="1">
        <v>2000</v>
      </c>
      <c r="D10" s="1">
        <v>25</v>
      </c>
      <c r="E10" s="1">
        <v>8300</v>
      </c>
    </row>
    <row r="11" spans="1:13" x14ac:dyDescent="0.25">
      <c r="A11" s="3" t="s">
        <v>11</v>
      </c>
      <c r="B11" s="1">
        <v>11</v>
      </c>
      <c r="C11" s="1">
        <v>7260</v>
      </c>
      <c r="D11" s="1">
        <v>33</v>
      </c>
      <c r="E11" s="1">
        <v>21120</v>
      </c>
    </row>
    <row r="12" spans="1:13" x14ac:dyDescent="0.25">
      <c r="A12" s="3" t="s">
        <v>12</v>
      </c>
      <c r="B12" s="1">
        <v>7</v>
      </c>
      <c r="C12" s="1">
        <v>3180</v>
      </c>
      <c r="D12" s="1">
        <v>20</v>
      </c>
      <c r="E12" s="1">
        <v>11180</v>
      </c>
    </row>
    <row r="13" spans="1:13" x14ac:dyDescent="0.25">
      <c r="A13" s="3" t="s">
        <v>13</v>
      </c>
      <c r="B13" s="1">
        <v>9</v>
      </c>
      <c r="C13" s="1">
        <v>1430</v>
      </c>
      <c r="D13" s="1">
        <v>29</v>
      </c>
      <c r="E13" s="1">
        <v>4765</v>
      </c>
    </row>
    <row r="14" spans="1:13" x14ac:dyDescent="0.25">
      <c r="A14" s="3" t="s">
        <v>14</v>
      </c>
      <c r="B14" s="1">
        <v>5</v>
      </c>
      <c r="C14" s="1">
        <v>1930</v>
      </c>
      <c r="D14" s="1">
        <v>11</v>
      </c>
      <c r="E14" s="1">
        <v>3750</v>
      </c>
    </row>
    <row r="15" spans="1:13" x14ac:dyDescent="0.25">
      <c r="A15" s="3" t="s">
        <v>15</v>
      </c>
      <c r="B15" s="1">
        <v>14</v>
      </c>
      <c r="C15" s="1">
        <v>4315</v>
      </c>
      <c r="D15" s="1">
        <v>41</v>
      </c>
      <c r="E15" s="1">
        <v>14930</v>
      </c>
    </row>
    <row r="16" spans="1:13" x14ac:dyDescent="0.25">
      <c r="A16" s="3" t="s">
        <v>16</v>
      </c>
      <c r="B16" s="1">
        <v>6</v>
      </c>
      <c r="C16" s="1">
        <v>2710</v>
      </c>
      <c r="D16" s="1">
        <v>17</v>
      </c>
      <c r="E16" s="1">
        <v>4790</v>
      </c>
    </row>
    <row r="17" spans="1:10" x14ac:dyDescent="0.25">
      <c r="A17" s="3" t="s">
        <v>17</v>
      </c>
      <c r="B17" s="1">
        <v>7</v>
      </c>
      <c r="C17" s="1">
        <v>1750</v>
      </c>
      <c r="D17" s="1">
        <v>16</v>
      </c>
      <c r="E17" s="1">
        <v>4270</v>
      </c>
    </row>
    <row r="21" spans="1:10" x14ac:dyDescent="0.25">
      <c r="A21" s="2" t="s">
        <v>5</v>
      </c>
      <c r="B21" t="s">
        <v>2</v>
      </c>
      <c r="I21" s="2" t="s">
        <v>5</v>
      </c>
      <c r="J21" t="s">
        <v>31</v>
      </c>
    </row>
    <row r="22" spans="1:10" x14ac:dyDescent="0.25">
      <c r="A22" s="3" t="s">
        <v>23</v>
      </c>
      <c r="B22" s="1">
        <v>65030</v>
      </c>
      <c r="I22" s="3" t="s">
        <v>26</v>
      </c>
      <c r="J22" s="1">
        <v>41</v>
      </c>
    </row>
    <row r="23" spans="1:10" x14ac:dyDescent="0.25">
      <c r="A23" s="3" t="s">
        <v>24</v>
      </c>
      <c r="B23" s="1">
        <v>88530</v>
      </c>
      <c r="I23" s="3" t="s">
        <v>27</v>
      </c>
      <c r="J23" s="1">
        <v>54</v>
      </c>
    </row>
    <row r="24" spans="1:10" x14ac:dyDescent="0.25">
      <c r="A24" s="3" t="s">
        <v>25</v>
      </c>
      <c r="B24" s="1">
        <v>90285</v>
      </c>
      <c r="I24" s="3" t="s">
        <v>28</v>
      </c>
      <c r="J24" s="1">
        <v>53</v>
      </c>
    </row>
    <row r="25" spans="1:10" x14ac:dyDescent="0.25">
      <c r="I25" s="3" t="s">
        <v>29</v>
      </c>
      <c r="J25" s="1">
        <v>42</v>
      </c>
    </row>
    <row r="26" spans="1:10" x14ac:dyDescent="0.25">
      <c r="I26" s="3" t="s">
        <v>30</v>
      </c>
      <c r="J26" s="1">
        <v>60</v>
      </c>
    </row>
    <row r="34" spans="2:6" x14ac:dyDescent="0.25">
      <c r="B34" t="s">
        <v>97</v>
      </c>
    </row>
    <row r="35" spans="2:6" x14ac:dyDescent="0.25">
      <c r="B35" s="2" t="s">
        <v>92</v>
      </c>
      <c r="C35" t="s">
        <v>93</v>
      </c>
    </row>
    <row r="36" spans="2:6" x14ac:dyDescent="0.25">
      <c r="B36" s="2" t="s">
        <v>94</v>
      </c>
      <c r="C36" t="s">
        <v>93</v>
      </c>
    </row>
    <row r="37" spans="2:6" x14ac:dyDescent="0.25">
      <c r="B37" s="2" t="s">
        <v>95</v>
      </c>
      <c r="C37" t="s">
        <v>93</v>
      </c>
    </row>
    <row r="39" spans="2:6" x14ac:dyDescent="0.25">
      <c r="B39" s="2" t="s">
        <v>96</v>
      </c>
      <c r="C39" t="s">
        <v>4</v>
      </c>
      <c r="D39" t="s">
        <v>1</v>
      </c>
      <c r="E39" t="s">
        <v>3</v>
      </c>
      <c r="F39" t="s">
        <v>2</v>
      </c>
    </row>
    <row r="40" spans="2:6" x14ac:dyDescent="0.25">
      <c r="B40" s="3" t="s">
        <v>32</v>
      </c>
      <c r="C40" s="1">
        <v>2</v>
      </c>
      <c r="D40" s="1">
        <v>900</v>
      </c>
      <c r="E40" s="1">
        <v>4</v>
      </c>
      <c r="F40" s="1">
        <v>1800</v>
      </c>
    </row>
    <row r="41" spans="2:6" x14ac:dyDescent="0.25">
      <c r="B41" s="3" t="s">
        <v>33</v>
      </c>
      <c r="C41" s="1">
        <v>2</v>
      </c>
      <c r="D41" s="1">
        <v>170</v>
      </c>
      <c r="E41" s="1">
        <v>3</v>
      </c>
      <c r="F41" s="1">
        <v>320</v>
      </c>
    </row>
    <row r="42" spans="2:6" x14ac:dyDescent="0.25">
      <c r="B42" s="3" t="s">
        <v>34</v>
      </c>
      <c r="C42" s="1">
        <v>1</v>
      </c>
      <c r="D42" s="1">
        <v>1200</v>
      </c>
      <c r="E42" s="1">
        <v>3</v>
      </c>
      <c r="F42" s="1">
        <v>3600</v>
      </c>
    </row>
    <row r="43" spans="2:6" x14ac:dyDescent="0.25">
      <c r="B43" s="3" t="s">
        <v>35</v>
      </c>
      <c r="C43" s="1">
        <v>4</v>
      </c>
      <c r="D43" s="1">
        <v>1915</v>
      </c>
      <c r="E43" s="1">
        <v>12</v>
      </c>
      <c r="F43" s="1">
        <v>4575</v>
      </c>
    </row>
    <row r="44" spans="2:6" x14ac:dyDescent="0.25">
      <c r="B44" s="3" t="s">
        <v>36</v>
      </c>
      <c r="C44" s="1">
        <v>4</v>
      </c>
      <c r="D44" s="1">
        <v>940</v>
      </c>
      <c r="E44" s="1">
        <v>18</v>
      </c>
      <c r="F44" s="1">
        <v>3100</v>
      </c>
    </row>
    <row r="45" spans="2:6" x14ac:dyDescent="0.25">
      <c r="B45" s="3" t="s">
        <v>37</v>
      </c>
      <c r="C45" s="1">
        <v>2</v>
      </c>
      <c r="D45" s="1">
        <v>1260</v>
      </c>
      <c r="E45" s="1">
        <v>5</v>
      </c>
      <c r="F45" s="1">
        <v>4860</v>
      </c>
    </row>
    <row r="46" spans="2:6" x14ac:dyDescent="0.25">
      <c r="B46" s="3" t="s">
        <v>38</v>
      </c>
      <c r="C46" s="1">
        <v>4</v>
      </c>
      <c r="D46" s="1">
        <v>785</v>
      </c>
      <c r="E46" s="1">
        <v>9</v>
      </c>
      <c r="F46" s="1">
        <v>1015</v>
      </c>
    </row>
    <row r="47" spans="2:6" x14ac:dyDescent="0.25">
      <c r="B47" s="3" t="s">
        <v>39</v>
      </c>
      <c r="C47" s="1">
        <v>2</v>
      </c>
      <c r="D47" s="1">
        <v>160</v>
      </c>
      <c r="E47" s="1">
        <v>6</v>
      </c>
      <c r="F47" s="1">
        <v>520</v>
      </c>
    </row>
    <row r="48" spans="2:6" x14ac:dyDescent="0.25">
      <c r="B48" s="3" t="s">
        <v>40</v>
      </c>
      <c r="C48" s="1">
        <v>5</v>
      </c>
      <c r="D48" s="1">
        <v>2320</v>
      </c>
      <c r="E48" s="1">
        <v>17</v>
      </c>
      <c r="F48" s="1">
        <v>9540</v>
      </c>
    </row>
    <row r="49" spans="2:6" x14ac:dyDescent="0.25">
      <c r="B49" s="3" t="s">
        <v>41</v>
      </c>
      <c r="C49" s="1">
        <v>4</v>
      </c>
      <c r="D49" s="1">
        <v>280</v>
      </c>
      <c r="E49" s="1">
        <v>14</v>
      </c>
      <c r="F49" s="1">
        <v>1005</v>
      </c>
    </row>
    <row r="50" spans="2:6" x14ac:dyDescent="0.25">
      <c r="B50" s="3" t="s">
        <v>42</v>
      </c>
      <c r="C50" s="1">
        <v>6</v>
      </c>
      <c r="D50" s="1">
        <v>2270</v>
      </c>
      <c r="E50" s="1">
        <v>23</v>
      </c>
      <c r="F50" s="1">
        <v>8810</v>
      </c>
    </row>
    <row r="51" spans="2:6" x14ac:dyDescent="0.25">
      <c r="B51" s="3" t="s">
        <v>43</v>
      </c>
      <c r="C51" s="1">
        <v>3</v>
      </c>
      <c r="D51" s="1">
        <v>575</v>
      </c>
      <c r="E51" s="1">
        <v>8</v>
      </c>
      <c r="F51" s="1">
        <v>2195</v>
      </c>
    </row>
    <row r="52" spans="2:6" x14ac:dyDescent="0.25">
      <c r="B52" s="3" t="s">
        <v>44</v>
      </c>
      <c r="C52" s="1">
        <v>8</v>
      </c>
      <c r="D52" s="1">
        <v>1640</v>
      </c>
      <c r="E52" s="1">
        <v>26</v>
      </c>
      <c r="F52" s="1">
        <v>6730</v>
      </c>
    </row>
    <row r="53" spans="2:6" x14ac:dyDescent="0.25">
      <c r="B53" s="3" t="s">
        <v>45</v>
      </c>
      <c r="C53" s="1">
        <v>2</v>
      </c>
      <c r="D53" s="1">
        <v>1700</v>
      </c>
      <c r="E53" s="1">
        <v>5</v>
      </c>
      <c r="F53" s="1">
        <v>4600</v>
      </c>
    </row>
    <row r="54" spans="2:6" x14ac:dyDescent="0.25">
      <c r="B54" s="3" t="s">
        <v>46</v>
      </c>
      <c r="C54" s="1">
        <v>3</v>
      </c>
      <c r="D54" s="1">
        <v>640</v>
      </c>
      <c r="E54" s="1">
        <v>9</v>
      </c>
      <c r="F54" s="1">
        <v>1800</v>
      </c>
    </row>
    <row r="55" spans="2:6" x14ac:dyDescent="0.25">
      <c r="B55" s="3" t="s">
        <v>47</v>
      </c>
      <c r="C55" s="1">
        <v>9</v>
      </c>
      <c r="D55" s="1">
        <v>1760</v>
      </c>
      <c r="E55" s="1">
        <v>18</v>
      </c>
      <c r="F55" s="1">
        <v>2570</v>
      </c>
    </row>
    <row r="56" spans="2:6" x14ac:dyDescent="0.25">
      <c r="B56" s="3" t="s">
        <v>48</v>
      </c>
      <c r="C56" s="1">
        <v>4</v>
      </c>
      <c r="D56" s="1">
        <v>2700</v>
      </c>
      <c r="E56" s="1">
        <v>10</v>
      </c>
      <c r="F56" s="1">
        <v>6900</v>
      </c>
    </row>
    <row r="57" spans="2:6" x14ac:dyDescent="0.25">
      <c r="B57" s="3" t="s">
        <v>49</v>
      </c>
      <c r="C57" s="1">
        <v>3</v>
      </c>
      <c r="D57" s="1">
        <v>1500</v>
      </c>
      <c r="E57" s="1">
        <v>14</v>
      </c>
      <c r="F57" s="1">
        <v>6300</v>
      </c>
    </row>
    <row r="58" spans="2:6" x14ac:dyDescent="0.25">
      <c r="B58" s="3" t="s">
        <v>50</v>
      </c>
      <c r="C58" s="1">
        <v>5</v>
      </c>
      <c r="D58" s="1">
        <v>1480</v>
      </c>
      <c r="E58" s="1">
        <v>13</v>
      </c>
      <c r="F58" s="1">
        <v>1980</v>
      </c>
    </row>
    <row r="59" spans="2:6" x14ac:dyDescent="0.25">
      <c r="B59" s="3" t="s">
        <v>51</v>
      </c>
      <c r="C59" s="1">
        <v>3</v>
      </c>
      <c r="D59" s="1">
        <v>160</v>
      </c>
      <c r="E59" s="1">
        <v>5</v>
      </c>
      <c r="F59" s="1">
        <v>300</v>
      </c>
    </row>
    <row r="60" spans="2:6" x14ac:dyDescent="0.25">
      <c r="B60" s="3" t="s">
        <v>52</v>
      </c>
      <c r="C60" s="1">
        <v>8</v>
      </c>
      <c r="D60" s="1">
        <v>4040</v>
      </c>
      <c r="E60" s="1">
        <v>17</v>
      </c>
      <c r="F60" s="1">
        <v>7210</v>
      </c>
    </row>
    <row r="61" spans="2:6" x14ac:dyDescent="0.25">
      <c r="B61" s="3" t="s">
        <v>53</v>
      </c>
      <c r="C61" s="1">
        <v>3</v>
      </c>
      <c r="D61" s="1">
        <v>915</v>
      </c>
      <c r="E61" s="1">
        <v>9</v>
      </c>
      <c r="F61" s="1">
        <v>3360</v>
      </c>
    </row>
    <row r="62" spans="2:6" x14ac:dyDescent="0.25">
      <c r="B62" s="3" t="s">
        <v>54</v>
      </c>
      <c r="C62" s="1">
        <v>1</v>
      </c>
      <c r="D62" s="1">
        <v>60</v>
      </c>
      <c r="E62" s="1">
        <v>2</v>
      </c>
      <c r="F62" s="1">
        <v>120</v>
      </c>
    </row>
    <row r="63" spans="2:6" x14ac:dyDescent="0.25">
      <c r="B63" s="3" t="s">
        <v>55</v>
      </c>
      <c r="C63" s="1">
        <v>6</v>
      </c>
      <c r="D63" s="1">
        <v>2050</v>
      </c>
      <c r="E63" s="1">
        <v>16</v>
      </c>
      <c r="F63" s="1">
        <v>4160</v>
      </c>
    </row>
    <row r="64" spans="2:6" x14ac:dyDescent="0.25">
      <c r="B64" s="3" t="s">
        <v>56</v>
      </c>
      <c r="C64" s="1">
        <v>8</v>
      </c>
      <c r="D64" s="1">
        <v>1520</v>
      </c>
      <c r="E64" s="1">
        <v>20</v>
      </c>
      <c r="F64" s="1">
        <v>4350</v>
      </c>
    </row>
    <row r="65" spans="2:6" x14ac:dyDescent="0.25">
      <c r="B65" s="3" t="s">
        <v>57</v>
      </c>
      <c r="C65" s="1">
        <v>7</v>
      </c>
      <c r="D65" s="1">
        <v>2910</v>
      </c>
      <c r="E65" s="1">
        <v>17</v>
      </c>
      <c r="F65" s="1">
        <v>7190</v>
      </c>
    </row>
    <row r="66" spans="2:6" x14ac:dyDescent="0.25">
      <c r="B66" s="3" t="s">
        <v>58</v>
      </c>
      <c r="C66" s="1">
        <v>7</v>
      </c>
      <c r="D66" s="1">
        <v>1055</v>
      </c>
      <c r="E66" s="1">
        <v>18</v>
      </c>
      <c r="F66" s="1">
        <v>2735</v>
      </c>
    </row>
    <row r="67" spans="2:6" x14ac:dyDescent="0.25">
      <c r="B67" s="3" t="s">
        <v>59</v>
      </c>
      <c r="C67" s="1">
        <v>3</v>
      </c>
      <c r="D67" s="1">
        <v>160</v>
      </c>
      <c r="E67" s="1">
        <v>10</v>
      </c>
      <c r="F67" s="1">
        <v>540</v>
      </c>
    </row>
    <row r="68" spans="2:6" x14ac:dyDescent="0.25">
      <c r="B68" s="3" t="s">
        <v>60</v>
      </c>
      <c r="C68" s="1">
        <v>4</v>
      </c>
      <c r="D68" s="1">
        <v>2300</v>
      </c>
      <c r="E68" s="1">
        <v>9</v>
      </c>
      <c r="F68" s="1">
        <v>3700</v>
      </c>
    </row>
    <row r="69" spans="2:6" x14ac:dyDescent="0.25">
      <c r="B69" s="3" t="s">
        <v>61</v>
      </c>
      <c r="C69" s="1">
        <v>6</v>
      </c>
      <c r="D69" s="1">
        <v>1215</v>
      </c>
      <c r="E69" s="1">
        <v>18</v>
      </c>
      <c r="F69" s="1">
        <v>4115</v>
      </c>
    </row>
    <row r="70" spans="2:6" x14ac:dyDescent="0.25">
      <c r="B70" s="3" t="s">
        <v>62</v>
      </c>
      <c r="C70" s="1">
        <v>5</v>
      </c>
      <c r="D70" s="1">
        <v>1610</v>
      </c>
      <c r="E70" s="1">
        <v>14</v>
      </c>
      <c r="F70" s="1">
        <v>3630</v>
      </c>
    </row>
    <row r="71" spans="2:6" x14ac:dyDescent="0.25">
      <c r="B71" s="3" t="s">
        <v>63</v>
      </c>
      <c r="C71" s="1">
        <v>4</v>
      </c>
      <c r="D71" s="1">
        <v>1220</v>
      </c>
      <c r="E71" s="1">
        <v>9</v>
      </c>
      <c r="F71" s="1">
        <v>1960</v>
      </c>
    </row>
    <row r="72" spans="2:6" x14ac:dyDescent="0.25">
      <c r="B72" s="3" t="s">
        <v>64</v>
      </c>
      <c r="C72" s="1">
        <v>3</v>
      </c>
      <c r="D72" s="1">
        <v>230</v>
      </c>
      <c r="E72" s="1">
        <v>9</v>
      </c>
      <c r="F72" s="1">
        <v>950</v>
      </c>
    </row>
    <row r="73" spans="2:6" x14ac:dyDescent="0.25">
      <c r="B73" s="3" t="s">
        <v>65</v>
      </c>
      <c r="C73" s="1">
        <v>3</v>
      </c>
      <c r="D73" s="1">
        <v>2150</v>
      </c>
      <c r="E73" s="1">
        <v>6</v>
      </c>
      <c r="F73" s="1">
        <v>3900</v>
      </c>
    </row>
    <row r="74" spans="2:6" x14ac:dyDescent="0.25">
      <c r="B74" s="3" t="s">
        <v>66</v>
      </c>
      <c r="C74" s="1">
        <v>8</v>
      </c>
      <c r="D74" s="1">
        <v>2940</v>
      </c>
      <c r="E74" s="1">
        <v>26</v>
      </c>
      <c r="F74" s="1">
        <v>9520</v>
      </c>
    </row>
    <row r="75" spans="2:6" x14ac:dyDescent="0.25">
      <c r="B75" s="3" t="s">
        <v>67</v>
      </c>
      <c r="C75" s="1">
        <v>6</v>
      </c>
      <c r="D75" s="1">
        <v>2045</v>
      </c>
      <c r="E75" s="1">
        <v>18</v>
      </c>
      <c r="F75" s="1">
        <v>6015</v>
      </c>
    </row>
    <row r="76" spans="2:6" x14ac:dyDescent="0.25">
      <c r="B76" s="3" t="s">
        <v>68</v>
      </c>
      <c r="C76" s="1">
        <v>5</v>
      </c>
      <c r="D76" s="1">
        <v>1070</v>
      </c>
      <c r="E76" s="1">
        <v>13</v>
      </c>
      <c r="F76" s="1">
        <v>2970</v>
      </c>
    </row>
    <row r="77" spans="2:6" x14ac:dyDescent="0.25">
      <c r="B77" s="3" t="s">
        <v>69</v>
      </c>
      <c r="C77" s="1">
        <v>1</v>
      </c>
      <c r="D77" s="1">
        <v>15</v>
      </c>
      <c r="E77" s="1">
        <v>1</v>
      </c>
      <c r="F77" s="1">
        <v>15</v>
      </c>
    </row>
    <row r="78" spans="2:6" x14ac:dyDescent="0.25">
      <c r="B78" s="3" t="s">
        <v>70</v>
      </c>
      <c r="C78" s="1">
        <v>1</v>
      </c>
      <c r="D78" s="1">
        <v>800</v>
      </c>
      <c r="E78" s="1">
        <v>3</v>
      </c>
      <c r="F78" s="1">
        <v>2400</v>
      </c>
    </row>
    <row r="79" spans="2:6" x14ac:dyDescent="0.25">
      <c r="B79" s="3" t="s">
        <v>71</v>
      </c>
      <c r="C79" s="1">
        <v>2</v>
      </c>
      <c r="D79" s="1">
        <v>640</v>
      </c>
      <c r="E79" s="1">
        <v>9</v>
      </c>
      <c r="F79" s="1">
        <v>2600</v>
      </c>
    </row>
    <row r="80" spans="2:6" x14ac:dyDescent="0.25">
      <c r="B80" s="3" t="s">
        <v>72</v>
      </c>
      <c r="C80" s="1">
        <v>6</v>
      </c>
      <c r="D80" s="1">
        <v>1805</v>
      </c>
      <c r="E80" s="1">
        <v>22</v>
      </c>
      <c r="F80" s="1">
        <v>7465</v>
      </c>
    </row>
    <row r="81" spans="2:6" x14ac:dyDescent="0.25">
      <c r="B81" s="3" t="s">
        <v>73</v>
      </c>
      <c r="C81" s="1">
        <v>5</v>
      </c>
      <c r="D81" s="1">
        <v>2300</v>
      </c>
      <c r="E81" s="1">
        <v>16</v>
      </c>
      <c r="F81" s="1">
        <v>6600</v>
      </c>
    </row>
    <row r="82" spans="2:6" x14ac:dyDescent="0.25">
      <c r="B82" s="3" t="s">
        <v>74</v>
      </c>
      <c r="C82" s="1">
        <v>3</v>
      </c>
      <c r="D82" s="1">
        <v>2015</v>
      </c>
      <c r="E82" s="1">
        <v>7</v>
      </c>
      <c r="F82" s="1">
        <v>6815</v>
      </c>
    </row>
    <row r="83" spans="2:6" x14ac:dyDescent="0.25">
      <c r="B83" s="3" t="s">
        <v>75</v>
      </c>
      <c r="C83" s="1">
        <v>3</v>
      </c>
      <c r="D83" s="1">
        <v>1900</v>
      </c>
      <c r="E83" s="1">
        <v>11</v>
      </c>
      <c r="F83" s="1">
        <v>5900</v>
      </c>
    </row>
    <row r="84" spans="2:6" x14ac:dyDescent="0.25">
      <c r="B84" s="3" t="s">
        <v>76</v>
      </c>
      <c r="C84" s="1">
        <v>3</v>
      </c>
      <c r="D84" s="1">
        <v>1360</v>
      </c>
      <c r="E84" s="1">
        <v>12</v>
      </c>
      <c r="F84" s="1">
        <v>5400</v>
      </c>
    </row>
    <row r="85" spans="2:6" x14ac:dyDescent="0.25">
      <c r="B85" s="3" t="s">
        <v>77</v>
      </c>
      <c r="C85" s="1">
        <v>4</v>
      </c>
      <c r="D85" s="1">
        <v>640</v>
      </c>
      <c r="E85" s="1">
        <v>13</v>
      </c>
      <c r="F85" s="1">
        <v>2900</v>
      </c>
    </row>
    <row r="86" spans="2:6" x14ac:dyDescent="0.25">
      <c r="B86" s="3" t="s">
        <v>78</v>
      </c>
      <c r="C86" s="1">
        <v>7</v>
      </c>
      <c r="D86" s="1">
        <v>4200</v>
      </c>
      <c r="E86" s="1">
        <v>22</v>
      </c>
      <c r="F86" s="1">
        <v>11400</v>
      </c>
    </row>
    <row r="87" spans="2:6" x14ac:dyDescent="0.25">
      <c r="B87" s="3" t="s">
        <v>79</v>
      </c>
      <c r="C87" s="1">
        <v>4</v>
      </c>
      <c r="D87" s="1">
        <v>3060</v>
      </c>
      <c r="E87" s="1">
        <v>11</v>
      </c>
      <c r="F87" s="1">
        <v>9720</v>
      </c>
    </row>
    <row r="88" spans="2:6" x14ac:dyDescent="0.25">
      <c r="B88" s="3" t="s">
        <v>80</v>
      </c>
      <c r="C88" s="1">
        <v>2</v>
      </c>
      <c r="D88" s="1">
        <v>520</v>
      </c>
      <c r="E88" s="1">
        <v>6</v>
      </c>
      <c r="F88" s="1">
        <v>2520</v>
      </c>
    </row>
    <row r="89" spans="2:6" x14ac:dyDescent="0.25">
      <c r="B89" s="3" t="s">
        <v>81</v>
      </c>
      <c r="C89" s="1">
        <v>5</v>
      </c>
      <c r="D89" s="1">
        <v>2660</v>
      </c>
      <c r="E89" s="1">
        <v>14</v>
      </c>
      <c r="F89" s="1">
        <v>8660</v>
      </c>
    </row>
    <row r="90" spans="2:6" x14ac:dyDescent="0.25">
      <c r="B90" s="3" t="s">
        <v>82</v>
      </c>
      <c r="C90" s="1">
        <v>3</v>
      </c>
      <c r="D90" s="1">
        <v>535</v>
      </c>
      <c r="E90" s="1">
        <v>11</v>
      </c>
      <c r="F90" s="1">
        <v>1640</v>
      </c>
    </row>
    <row r="91" spans="2:6" x14ac:dyDescent="0.25">
      <c r="B91" s="3" t="s">
        <v>83</v>
      </c>
      <c r="C91" s="1">
        <v>6</v>
      </c>
      <c r="D91" s="1">
        <v>895</v>
      </c>
      <c r="E91" s="1">
        <v>18</v>
      </c>
      <c r="F91" s="1">
        <v>3125</v>
      </c>
    </row>
    <row r="92" spans="2:6" x14ac:dyDescent="0.25">
      <c r="B92" s="3" t="s">
        <v>84</v>
      </c>
      <c r="C92" s="1">
        <v>3</v>
      </c>
      <c r="D92" s="1">
        <v>1850</v>
      </c>
      <c r="E92" s="1">
        <v>5</v>
      </c>
      <c r="F92" s="1">
        <v>3550</v>
      </c>
    </row>
    <row r="93" spans="2:6" x14ac:dyDescent="0.25">
      <c r="B93" s="3" t="s">
        <v>85</v>
      </c>
      <c r="C93" s="1">
        <v>2</v>
      </c>
      <c r="D93" s="1">
        <v>80</v>
      </c>
      <c r="E93" s="1">
        <v>6</v>
      </c>
      <c r="F93" s="1">
        <v>200</v>
      </c>
    </row>
    <row r="94" spans="2:6" x14ac:dyDescent="0.25">
      <c r="B94" s="3" t="s">
        <v>86</v>
      </c>
      <c r="C94" s="1">
        <v>10</v>
      </c>
      <c r="D94" s="1">
        <v>3150</v>
      </c>
      <c r="E94" s="1">
        <v>30</v>
      </c>
      <c r="F94" s="1">
        <v>10965</v>
      </c>
    </row>
    <row r="95" spans="2:6" x14ac:dyDescent="0.25">
      <c r="B95" s="3" t="s">
        <v>87</v>
      </c>
      <c r="C95" s="1">
        <v>4</v>
      </c>
      <c r="D95" s="1">
        <v>1165</v>
      </c>
      <c r="E95" s="1">
        <v>11</v>
      </c>
      <c r="F95" s="1">
        <v>3965</v>
      </c>
    </row>
    <row r="96" spans="2:6" x14ac:dyDescent="0.25">
      <c r="B96" s="3" t="s">
        <v>88</v>
      </c>
      <c r="C96" s="1">
        <v>4</v>
      </c>
      <c r="D96" s="1">
        <v>1470</v>
      </c>
      <c r="E96" s="1">
        <v>15</v>
      </c>
      <c r="F96" s="1">
        <v>3550</v>
      </c>
    </row>
    <row r="97" spans="2:6" x14ac:dyDescent="0.25">
      <c r="B97" s="3" t="s">
        <v>89</v>
      </c>
      <c r="C97" s="1">
        <v>2</v>
      </c>
      <c r="D97" s="1">
        <v>1240</v>
      </c>
      <c r="E97" s="1">
        <v>2</v>
      </c>
      <c r="F97" s="1">
        <v>1240</v>
      </c>
    </row>
    <row r="98" spans="2:6" x14ac:dyDescent="0.25">
      <c r="B98" s="3" t="s">
        <v>90</v>
      </c>
      <c r="C98" s="1">
        <v>3</v>
      </c>
      <c r="D98" s="1">
        <v>1160</v>
      </c>
      <c r="E98" s="1">
        <v>7</v>
      </c>
      <c r="F98" s="1">
        <v>3560</v>
      </c>
    </row>
    <row r="99" spans="2:6" x14ac:dyDescent="0.25">
      <c r="B99" s="3" t="s">
        <v>91</v>
      </c>
      <c r="C99" s="1">
        <v>4</v>
      </c>
      <c r="D99" s="1">
        <v>590</v>
      </c>
      <c r="E99" s="1">
        <v>9</v>
      </c>
      <c r="F99" s="1">
        <v>710</v>
      </c>
    </row>
  </sheetData>
  <pageMargins left="0.7" right="0.7" top="0.75" bottom="0.75" header="0.3" footer="0.3"/>
  <pageSetup orientation="portrait" r:id="rId6"/>
  <drawing r:id="rId7"/>
  <extLst>
    <ext xmlns:x14="http://schemas.microsoft.com/office/spreadsheetml/2009/9/main" uri="{05C60535-1F16-4fd2-B633-F4F36F0B64E0}">
      <x14:sparklineGroups xmlns:xm="http://schemas.microsoft.com/office/excel/2006/main">
        <x14:sparklineGroup type="column" displayEmptyCellsAs="gap" high="1" xr2:uid="{F9C20162-3716-4228-AFB4-08815C497391}">
          <x14:colorSeries theme="2" tint="-0.749992370372631"/>
          <x14:colorNegative rgb="FFD00000"/>
          <x14:colorAxis rgb="FF000000"/>
          <x14:colorMarkers rgb="FFD00000"/>
          <x14:colorFirst rgb="FFD00000"/>
          <x14:colorLast rgb="FFD00000"/>
          <x14:colorHigh theme="5"/>
          <x14:colorLow rgb="FFD00000"/>
          <x14:sparklines>
            <x14:sparkline>
              <xm:f>'Support sheet'!B5:B17</xm:f>
              <xm:sqref>A3</xm:sqref>
            </x14:sparkline>
          </x14:sparklines>
        </x14:sparklineGroup>
        <x14:sparklineGroup type="column" displayEmptyCellsAs="gap" high="1" xr2:uid="{352BE368-3536-45D3-B71D-3FF1E8F05A15}">
          <x14:colorSeries theme="2" tint="-0.749992370372631"/>
          <x14:colorNegative rgb="FFD00000"/>
          <x14:colorAxis rgb="FF000000"/>
          <x14:colorMarkers rgb="FFD00000"/>
          <x14:colorFirst rgb="FFD00000"/>
          <x14:colorLast rgb="FFD00000"/>
          <x14:colorHigh theme="5"/>
          <x14:colorLow rgb="FFD00000"/>
          <x14:sparklines>
            <x14:sparkline>
              <xm:f>'Support sheet'!C6:C17</xm:f>
              <xm:sqref>B3</xm:sqref>
            </x14:sparkline>
          </x14:sparklines>
        </x14:sparklineGroup>
        <x14:sparklineGroup type="column" displayEmptyCellsAs="gap" high="1" xr2:uid="{D2C40C63-7AFA-48DC-96B0-C77B0A151A9C}">
          <x14:colorSeries theme="1" tint="0.249977111117893"/>
          <x14:colorNegative rgb="FFD00000"/>
          <x14:colorAxis rgb="FF000000"/>
          <x14:colorMarkers rgb="FFD00000"/>
          <x14:colorFirst rgb="FFD00000"/>
          <x14:colorLast rgb="FFD00000"/>
          <x14:colorHigh theme="5"/>
          <x14:colorLow rgb="FFD00000"/>
          <x14:sparklines>
            <x14:sparkline>
              <xm:f>'Support sheet'!D6:D17</xm:f>
              <xm:sqref>C3</xm:sqref>
            </x14:sparkline>
          </x14:sparklines>
        </x14:sparklineGroup>
        <x14:sparklineGroup type="column" displayEmptyCellsAs="gap" high="1" xr2:uid="{BDA1BD32-8DF7-45D6-B6FC-FEFAF54025A3}">
          <x14:colorSeries theme="1" tint="0.249977111117893"/>
          <x14:colorNegative rgb="FFD00000"/>
          <x14:colorAxis rgb="FF000000"/>
          <x14:colorMarkers rgb="FFD00000"/>
          <x14:colorFirst rgb="FFD00000"/>
          <x14:colorLast rgb="FFD00000"/>
          <x14:colorHigh theme="5"/>
          <x14:colorLow rgb="FFD00000"/>
          <x14:sparklines>
            <x14:sparkline>
              <xm:f>'Support sheet'!E6:E17</xm:f>
              <xm:sqref>D3</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720C9-1473-48F3-A339-F97CC2503A2D}">
  <dimension ref="H4"/>
  <sheetViews>
    <sheetView workbookViewId="0">
      <selection activeCell="H4" sqref="H4"/>
    </sheetView>
  </sheetViews>
  <sheetFormatPr defaultRowHeight="15" x14ac:dyDescent="0.25"/>
  <sheetData>
    <row r="4" spans="8:8" x14ac:dyDescent="0.25">
      <c r="H4" t="s">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14BDDA-D629-494E-A4B5-84579093DF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Dashboards</vt:lpstr>
      <vt:lpstr>Support sheet</vt:lpstr>
      <vt:lpstr>Sheet1</vt:lpstr>
      <vt:lpstr>Folderpath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Andria Rachel</cp:lastModifiedBy>
  <dcterms:created xsi:type="dcterms:W3CDTF">2026-07-06T13:05:49Z</dcterms:created>
  <dcterms:modified xsi:type="dcterms:W3CDTF">2026-07-07T16:50:15Z</dcterms:modified>
</cp:coreProperties>
</file>